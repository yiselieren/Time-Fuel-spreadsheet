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C2CF9BBF-E315-49FD-9593-60F46FBA7B01}" xr6:coauthVersionLast="41" xr6:coauthVersionMax="41" xr10:uidLastSave="{00000000-0000-0000-0000-000000000000}"/>
  <bookViews>
    <workbookView xWindow="3036" yWindow="1572" windowWidth="25752" windowHeight="13944" tabRatio="173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G29" i="1" l="1"/>
  <c r="G28" i="1"/>
  <c r="G27" i="1"/>
  <c r="G26" i="1"/>
  <c r="G25" i="1"/>
  <c r="G24" i="1"/>
  <c r="G23" i="1"/>
  <c r="G22" i="1"/>
  <c r="G21" i="1"/>
  <c r="G20" i="1"/>
  <c r="N19" i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G19" i="1"/>
  <c r="G15" i="1"/>
  <c r="G14" i="1"/>
  <c r="G13" i="1"/>
  <c r="G12" i="1"/>
  <c r="G11" i="1"/>
  <c r="G10" i="1"/>
  <c r="G9" i="1"/>
  <c r="G8" i="1"/>
  <c r="G7" i="1"/>
  <c r="G6" i="1"/>
  <c r="N5" i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G5" i="1"/>
  <c r="F24" i="1"/>
  <c r="F8" i="1"/>
  <c r="F13" i="1"/>
  <c r="F12" i="1"/>
  <c r="F19" i="1"/>
  <c r="F21" i="1"/>
  <c r="F14" i="1"/>
  <c r="F11" i="1"/>
  <c r="F27" i="1"/>
  <c r="F26" i="1"/>
  <c r="F22" i="1"/>
  <c r="F15" i="1"/>
  <c r="F10" i="1"/>
  <c r="F6" i="1"/>
  <c r="F5" i="1"/>
  <c r="F7" i="1"/>
  <c r="F29" i="1"/>
  <c r="F25" i="1"/>
  <c r="F20" i="1"/>
  <c r="F28" i="1"/>
  <c r="F9" i="1"/>
  <c r="F23" i="1"/>
  <c r="D20" i="1" l="1"/>
  <c r="E23" i="1"/>
  <c r="B25" i="1"/>
  <c r="E27" i="1"/>
  <c r="E29" i="1"/>
  <c r="B21" i="1"/>
  <c r="E7" i="1"/>
  <c r="B9" i="1"/>
  <c r="E11" i="1"/>
  <c r="E12" i="1"/>
  <c r="B12" i="1"/>
  <c r="D12" i="1"/>
  <c r="D14" i="1"/>
  <c r="E19" i="1"/>
  <c r="D6" i="1"/>
  <c r="B8" i="1"/>
  <c r="D10" i="1"/>
  <c r="B13" i="1"/>
  <c r="E15" i="1"/>
  <c r="D22" i="1"/>
  <c r="D24" i="1"/>
  <c r="D26" i="1"/>
  <c r="D28" i="1"/>
  <c r="E8" i="1"/>
  <c r="E14" i="1"/>
  <c r="B20" i="1"/>
  <c r="E21" i="1"/>
  <c r="E22" i="1"/>
  <c r="D13" i="1"/>
  <c r="E6" i="1"/>
  <c r="E25" i="1"/>
  <c r="D8" i="1"/>
  <c r="D9" i="1"/>
  <c r="E10" i="1"/>
  <c r="E20" i="1"/>
  <c r="D21" i="1"/>
  <c r="E24" i="1"/>
  <c r="B28" i="1"/>
  <c r="E9" i="1"/>
  <c r="E28" i="1"/>
  <c r="B24" i="1"/>
  <c r="E13" i="1"/>
  <c r="D25" i="1"/>
  <c r="E26" i="1"/>
  <c r="B7" i="1"/>
  <c r="B11" i="1"/>
  <c r="B15" i="1"/>
  <c r="B19" i="1"/>
  <c r="A19" i="1" s="1"/>
  <c r="B23" i="1"/>
  <c r="B27" i="1"/>
  <c r="B6" i="1"/>
  <c r="D7" i="1"/>
  <c r="B10" i="1"/>
  <c r="D11" i="1"/>
  <c r="B14" i="1"/>
  <c r="D15" i="1"/>
  <c r="D19" i="1"/>
  <c r="B22" i="1"/>
  <c r="D23" i="1"/>
  <c r="B26" i="1"/>
  <c r="D27" i="1"/>
  <c r="B29" i="1"/>
  <c r="D29" i="1"/>
  <c r="B5" i="1"/>
  <c r="D5" i="1"/>
  <c r="E5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33" i="1" s="1"/>
  <c r="A20" i="1"/>
  <c r="A21" i="1" s="1"/>
  <c r="A22" i="1" s="1"/>
  <c r="A23" i="1" s="1"/>
  <c r="A24" i="1" s="1"/>
  <c r="A25" i="1" s="1"/>
  <c r="A26" i="1" s="1"/>
  <c r="A27" i="1" s="1"/>
  <c r="A28" i="1" s="1"/>
  <c r="A29" i="1" s="1"/>
  <c r="A34" i="1" s="1"/>
  <c r="A37" i="1"/>
  <c r="A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J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<sst xmlns="http://schemas.openxmlformats.org/spreadsheetml/2006/main" count="37" uniqueCount="33">
  <si>
    <t xml:space="preserve">טבלת  זמן – דלק </t>
  </si>
  <si>
    <t>דלק להתנע/הסעה</t>
  </si>
  <si>
    <t>4E</t>
  </si>
  <si>
    <t>נתיה מגנטית</t>
  </si>
  <si>
    <t>.טמפ</t>
  </si>
  <si>
    <t>דלק/שעה</t>
  </si>
  <si>
    <t>ISA density altitude correction</t>
  </si>
  <si>
    <t>זמן מצטבר</t>
  </si>
  <si>
    <t>זמן לג</t>
  </si>
  <si>
    <t>מרחק</t>
  </si>
  <si>
    <t>HDG</t>
  </si>
  <si>
    <t>GS</t>
  </si>
  <si>
    <t>TAS</t>
  </si>
  <si>
    <t>כוון מגנטי</t>
  </si>
  <si>
    <t>IAS</t>
  </si>
  <si>
    <t>כוון אמיתי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</si>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</sst>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 applyProtection="1">
      <protection locked="0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0" fillId="3" borderId="1" xfId="0" applyFill="1" applyBorder="1" applyProtection="1">
      <protection locked="0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49" fontId="0" fillId="3" borderId="1" xfId="0" applyNumberFormat="1" applyFill="1" applyBorder="1" applyProtection="1">
      <protection locked="0"/>
    </xf>
    <xf numFmtId="49" fontId="6" fillId="3" borderId="1" xfId="0" applyNumberFormat="1" applyFont="1" applyFill="1" applyBorder="1" applyProtection="1">
      <protection locked="0"/>
    </xf>
    <xf numFmtId="0" fontId="2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  <xf numFmtId="49" fontId="0" fillId="0" borderId="0" xfId="0" applyNumberFormat="1" applyAlignment="1">
      <alignment horizontal="right"/>
    </xf>
    <xf numFmtId="0" fontId="5" fillId="0" borderId="0" xfId="0" applyFont="1"/>
    <xf numFmtId="0" fontId="0" fillId="5" borderId="0" xfId="0" applyFill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47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4A2D4267-DB39-48BF-9579-D90C7718CB45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0</xdr:colOff>
      <xdr:row>47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630B4E8B-4FBD-446C-8704-3243188CD9E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8"/>
  <sheetViews>
    <sheetView tabSelected="1" topLeftCell="A11" zoomScale="184" zoomScaleNormal="184" workbookViewId="0">
      <selection activeCell="J19" sqref="J19:J29"/>
    </sheetView>
  </sheetViews>
  <sheetFormatPr defaultRowHeight="15.6"/>
  <cols>
    <col min="1" max="1" width="9.33203125" style="1"/>
    <col min="2" max="2" width="7.109375" style="2"/>
    <col min="3" max="3" width="6.88671875" style="3"/>
    <col min="4" max="4" width="5.21875" style="4"/>
    <col min="5" max="5" width="4.77734375" style="4"/>
    <col min="6" max="6" width="6.21875" style="4"/>
    <col min="7" max="7" width="7.5546875" style="4"/>
    <col min="8" max="8" width="5.77734375" style="4"/>
    <col min="9" max="9" width="7.6640625" style="4"/>
    <col min="10" max="10" width="8.5546875" style="4"/>
    <col min="11" max="11" width="6.88671875" style="4"/>
    <col min="12" max="12" width="12.77734375" style="4"/>
    <col min="13" max="13" width="12.44140625" style="4"/>
    <col min="14" max="14" width="6" style="5"/>
  </cols>
  <sheetData>
    <row r="1" spans="1:14" s="6" customFormat="1" ht="16.95" customHeight="1">
      <c r="A1" s="2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 ht="12.75" customHeight="1">
      <c r="A2" s="7">
        <v>1.2</v>
      </c>
      <c r="B2" s="29" t="s">
        <v>1</v>
      </c>
      <c r="C2" s="29"/>
      <c r="D2" s="7" t="s">
        <v>2</v>
      </c>
      <c r="E2" s="30" t="s">
        <v>3</v>
      </c>
      <c r="F2" s="30"/>
      <c r="G2" s="8">
        <v>20</v>
      </c>
      <c r="H2" t="s">
        <v>4</v>
      </c>
      <c r="I2" s="8">
        <v>7</v>
      </c>
      <c r="J2" t="s">
        <v>5</v>
      </c>
      <c r="K2" s="8">
        <v>112</v>
      </c>
      <c r="L2" s="30" t="s">
        <v>6</v>
      </c>
      <c r="M2" s="30"/>
      <c r="N2" s="9"/>
    </row>
    <row r="3" spans="1:14" s="13" customFormat="1" ht="16.5" customHeight="1">
      <c r="A3" s="10" t="s">
        <v>7</v>
      </c>
      <c r="B3" s="11" t="s">
        <v>8</v>
      </c>
      <c r="C3" s="12" t="s">
        <v>9</v>
      </c>
      <c r="D3" s="13" t="s">
        <v>10</v>
      </c>
      <c r="E3" s="14" t="s">
        <v>11</v>
      </c>
      <c r="F3" s="14" t="s">
        <v>12</v>
      </c>
      <c r="G3" s="14" t="s">
        <v>13</v>
      </c>
      <c r="H3" s="14" t="s">
        <v>14</v>
      </c>
      <c r="I3" s="13" t="s">
        <v>15</v>
      </c>
      <c r="J3" s="13" t="s">
        <v>16</v>
      </c>
      <c r="K3" s="13" t="s">
        <v>17</v>
      </c>
      <c r="L3" s="13" t="s">
        <v>18</v>
      </c>
      <c r="M3" s="13" t="s">
        <v>19</v>
      </c>
      <c r="N3" s="13" t="s">
        <v>20</v>
      </c>
    </row>
    <row r="4" spans="1:14" ht="11.55" customHeight="1">
      <c r="A4" s="15"/>
      <c r="B4" s="15"/>
      <c r="C4" s="16"/>
      <c r="D4"/>
      <c r="E4"/>
      <c r="F4"/>
      <c r="G4" s="16"/>
      <c r="H4" s="16"/>
      <c r="I4" s="16"/>
      <c r="J4" s="16"/>
      <c r="K4" s="16"/>
      <c r="L4" s="17" t="s">
        <v>21</v>
      </c>
      <c r="M4" s="17" t="s">
        <v>22</v>
      </c>
      <c r="N4" s="9">
        <v>1</v>
      </c>
    </row>
    <row r="5" spans="1:14" ht="11.55" customHeight="1">
      <c r="A5" s="18" t="str">
        <f>B5</f>
        <v/>
      </c>
      <c r="B5" s="18" t="str">
        <f>IF(OR(F5=0,C5=""),"",DECTOMS(C5/F5*60))</f>
        <v/>
      </c>
      <c r="C5" s="19"/>
      <c r="D5" t="str">
        <f>IF(F5=0,"",HDG(F5,G5,J5))</f>
        <v/>
      </c>
      <c r="E5">
        <f>IF(F5=0,0,GS(F5,G5,J5))</f>
        <v>0</v>
      </c>
      <c r="F5">
        <f>TAS(H5,DA(K5,$G$2,$K$2))</f>
        <v>0</v>
      </c>
      <c r="G5" s="16" t="str">
        <f>IF(I5="","",MAGNETIC_COURSE($D$2,I5))</f>
        <v/>
      </c>
      <c r="H5" s="19"/>
      <c r="I5" s="19"/>
      <c r="J5" s="26"/>
      <c r="K5" s="19"/>
      <c r="L5" s="20"/>
      <c r="M5" s="20"/>
      <c r="N5" s="9">
        <f t="shared" ref="N5:N16" si="0">N4+1</f>
        <v>2</v>
      </c>
    </row>
    <row r="6" spans="1:14" ht="11.55" customHeight="1">
      <c r="A6" s="18" t="str">
        <f>IF(B6="",A5,DECTOMS(MSTODEC(A5) + MSTODEC(B6)))</f>
        <v/>
      </c>
      <c r="B6" s="18" t="str">
        <f>IF(OR(F6=0,C6=""),"",DECTOMS(C6/F6*60))</f>
        <v/>
      </c>
      <c r="C6" s="19"/>
      <c r="D6" t="str">
        <f>IF(F6=0,"",HDG(F6,G6,J6))</f>
        <v/>
      </c>
      <c r="E6">
        <f>IF(F6=0,0,GS(F6,G6,J6))</f>
        <v>0</v>
      </c>
      <c r="F6">
        <f>TAS(H6,DA(K6,$G$2,$K$2))</f>
        <v>0</v>
      </c>
      <c r="G6" s="16" t="str">
        <f>IF(I6="","",MAGNETIC_COURSE($D$2,I6))</f>
        <v/>
      </c>
      <c r="H6" s="19"/>
      <c r="I6" s="19"/>
      <c r="J6" s="26"/>
      <c r="K6" s="19"/>
      <c r="L6" s="20"/>
      <c r="M6" s="20"/>
      <c r="N6" s="9">
        <f t="shared" si="0"/>
        <v>3</v>
      </c>
    </row>
    <row r="7" spans="1:14" ht="11.55" customHeight="1">
      <c r="A7" s="18" t="str">
        <f>IF(B7="",A6,DECTOMS(MSTODEC(A6) + MSTODEC(B7)))</f>
        <v/>
      </c>
      <c r="B7" s="18" t="str">
        <f>IF(OR(F7=0,C7=""),"",DECTOMS(C7/F7*60))</f>
        <v/>
      </c>
      <c r="C7" s="19"/>
      <c r="D7" t="str">
        <f>IF(F7=0,"",HDG(F7,G7,J7))</f>
        <v/>
      </c>
      <c r="E7">
        <f>IF(F7=0,0,GS(F7,G7,J7))</f>
        <v>0</v>
      </c>
      <c r="F7">
        <f>TAS(H7,DA(K7,$G$2,$K$2))</f>
        <v>0</v>
      </c>
      <c r="G7" s="16" t="str">
        <f>IF(I7="","",MAGNETIC_COURSE($D$2,I7))</f>
        <v/>
      </c>
      <c r="H7" s="19"/>
      <c r="I7" s="19"/>
      <c r="J7" s="26"/>
      <c r="K7" s="20"/>
      <c r="L7" s="20"/>
      <c r="M7" s="20"/>
      <c r="N7" s="9">
        <f t="shared" si="0"/>
        <v>4</v>
      </c>
    </row>
    <row r="8" spans="1:14" ht="11.55" customHeight="1">
      <c r="A8" s="18" t="str">
        <f>IF(B8="",A7,DECTOMS(MSTODEC(A7) + MSTODEC(B8)))</f>
        <v/>
      </c>
      <c r="B8" s="18" t="str">
        <f>IF(OR(F8=0,C8=""),"",DECTOMS(C8/F8*60))</f>
        <v/>
      </c>
      <c r="C8" s="19"/>
      <c r="D8" t="str">
        <f>IF(F8=0,"",HDG(F8,G8,J8))</f>
        <v/>
      </c>
      <c r="E8">
        <f>IF(F8=0,0,GS(F8,G8,J8))</f>
        <v>0</v>
      </c>
      <c r="F8">
        <f>TAS(H8,DA(K8,$G$2,$K$2))</f>
        <v>0</v>
      </c>
      <c r="G8" s="16" t="str">
        <f>IF(I8="","",MAGNETIC_COURSE($D$2,I8))</f>
        <v/>
      </c>
      <c r="H8" s="19"/>
      <c r="I8" s="19"/>
      <c r="J8" s="26"/>
      <c r="K8" s="19"/>
      <c r="L8" s="20"/>
      <c r="M8" s="20"/>
      <c r="N8" s="9">
        <f t="shared" si="0"/>
        <v>5</v>
      </c>
    </row>
    <row r="9" spans="1:14" ht="11.55" customHeight="1">
      <c r="A9" s="18" t="str">
        <f>IF(B9="",A8,DECTOMS(MSTODEC(A8) + MSTODEC(B9)))</f>
        <v/>
      </c>
      <c r="B9" s="18" t="str">
        <f>IF(OR(F9=0,C9=""),"",DECTOMS(C9/F9*60))</f>
        <v/>
      </c>
      <c r="C9" s="19"/>
      <c r="D9" t="str">
        <f>IF(F9=0,"",HDG(F9,G9,J9))</f>
        <v/>
      </c>
      <c r="E9">
        <f>IF(F9=0,0,GS(F9,G9,J9))</f>
        <v>0</v>
      </c>
      <c r="F9">
        <f>TAS(H9,DA(K9,$G$2,$K$2))</f>
        <v>0</v>
      </c>
      <c r="G9" s="16" t="str">
        <f>IF(I9="","",MAGNETIC_COURSE($D$2,I9))</f>
        <v/>
      </c>
      <c r="H9" s="20"/>
      <c r="I9" s="20"/>
      <c r="J9" s="27"/>
      <c r="K9" s="20"/>
      <c r="L9" s="20"/>
      <c r="M9" s="20"/>
      <c r="N9" s="9">
        <f t="shared" si="0"/>
        <v>6</v>
      </c>
    </row>
    <row r="10" spans="1:14" ht="11.55" customHeight="1">
      <c r="A10" s="18" t="str">
        <f>IF(B10="",A9,DECTOMS(MSTODEC(A9) + MSTODEC(B10)))</f>
        <v/>
      </c>
      <c r="B10" s="18" t="str">
        <f>IF(OR(F10=0,C10=""),"",DECTOMS(C10/F10*60))</f>
        <v/>
      </c>
      <c r="C10" s="19"/>
      <c r="D10" t="str">
        <f>IF(F10=0,"",HDG(F10,G10,J10))</f>
        <v/>
      </c>
      <c r="E10">
        <f>IF(F10=0,0,GS(F10,G10,J10))</f>
        <v>0</v>
      </c>
      <c r="F10">
        <f>TAS(H10,DA(K10,$G$2,$K$2))</f>
        <v>0</v>
      </c>
      <c r="G10" s="16" t="str">
        <f>IF(I10="","",MAGNETIC_COURSE($D$2,I10))</f>
        <v/>
      </c>
      <c r="H10" s="20"/>
      <c r="I10" s="20"/>
      <c r="J10" s="27"/>
      <c r="K10" s="20"/>
      <c r="L10" s="20"/>
      <c r="M10" s="20"/>
      <c r="N10" s="9">
        <f t="shared" si="0"/>
        <v>7</v>
      </c>
    </row>
    <row r="11" spans="1:14" ht="11.55" customHeight="1">
      <c r="A11" s="18" t="str">
        <f>IF(B11="",A10,DECTOMS(MSTODEC(A10) + MSTODEC(B11)))</f>
        <v/>
      </c>
      <c r="B11" s="18" t="str">
        <f>IF(OR(F11=0,C11=""),"",DECTOMS(C11/F11*60))</f>
        <v/>
      </c>
      <c r="C11" s="19"/>
      <c r="D11" t="str">
        <f>IF(F11=0,"",HDG(F11,G11,J11))</f>
        <v/>
      </c>
      <c r="E11">
        <f>IF(F11=0,0,GS(F11,G11,J11))</f>
        <v>0</v>
      </c>
      <c r="F11">
        <f>TAS(H11,DA(K11,$G$2,$K$2))</f>
        <v>0</v>
      </c>
      <c r="G11" s="16" t="str">
        <f>IF(I11="","",MAGNETIC_COURSE($D$2,I11))</f>
        <v/>
      </c>
      <c r="H11" s="20"/>
      <c r="I11" s="20"/>
      <c r="J11" s="27"/>
      <c r="K11" s="20"/>
      <c r="L11" s="20"/>
      <c r="M11" s="20"/>
      <c r="N11" s="9">
        <f t="shared" si="0"/>
        <v>8</v>
      </c>
    </row>
    <row r="12" spans="1:14" ht="11.55" customHeight="1">
      <c r="A12" s="18" t="str">
        <f>IF(B12="",A11,DECTOMS(MSTODEC(A11) + MSTODEC(B12)))</f>
        <v/>
      </c>
      <c r="B12" s="18" t="str">
        <f>IF(OR(F12=0,C12=""),"",DECTOMS(C12/F12*60))</f>
        <v/>
      </c>
      <c r="C12" s="19"/>
      <c r="D12" t="str">
        <f>IF(F12=0,"",HDG(F12,G12,J12))</f>
        <v/>
      </c>
      <c r="E12">
        <f>IF(F12=0,0,GS(F12,G12,J12))</f>
        <v>0</v>
      </c>
      <c r="F12">
        <f>TAS(H12,DA(K12,$G$2,$K$2))</f>
        <v>0</v>
      </c>
      <c r="G12" s="16" t="str">
        <f>IF(I12="","",MAGNETIC_COURSE($D$2,I12))</f>
        <v/>
      </c>
      <c r="H12" s="20"/>
      <c r="I12" s="20"/>
      <c r="J12" s="27"/>
      <c r="K12" s="20"/>
      <c r="L12" s="20"/>
      <c r="M12" s="20"/>
      <c r="N12" s="9">
        <f t="shared" si="0"/>
        <v>9</v>
      </c>
    </row>
    <row r="13" spans="1:14" ht="11.55" customHeight="1">
      <c r="A13" s="18" t="str">
        <f>IF(B13="",A12,DECTOMS(MSTODEC(A12) + MSTODEC(B13)))</f>
        <v/>
      </c>
      <c r="B13" s="18" t="str">
        <f>IF(OR(F13=0,C13=""),"",DECTOMS(C13/F13*60))</f>
        <v/>
      </c>
      <c r="C13" s="19"/>
      <c r="D13" t="str">
        <f>IF(F13=0,"",HDG(F13,G13,J13))</f>
        <v/>
      </c>
      <c r="E13">
        <f>IF(F13=0,0,GS(F13,G13,J13))</f>
        <v>0</v>
      </c>
      <c r="F13">
        <f>TAS(H13,DA(K13,$G$2,$K$2))</f>
        <v>0</v>
      </c>
      <c r="G13" s="16" t="str">
        <f>IF(I13="","",MAGNETIC_COURSE($D$2,I13))</f>
        <v/>
      </c>
      <c r="H13" s="20"/>
      <c r="I13" s="20"/>
      <c r="J13" s="27"/>
      <c r="K13" s="20"/>
      <c r="L13" s="20"/>
      <c r="M13" s="20"/>
      <c r="N13" s="9">
        <f t="shared" si="0"/>
        <v>10</v>
      </c>
    </row>
    <row r="14" spans="1:14" ht="11.55" customHeight="1">
      <c r="A14" s="18" t="str">
        <f>IF(B14="",A13,DECTOMS(MSTODEC(A13) + MSTODEC(B14)))</f>
        <v/>
      </c>
      <c r="B14" s="18" t="str">
        <f>IF(OR(F14=0,C14=""),"",DECTOMS(C14/F14*60))</f>
        <v/>
      </c>
      <c r="C14" s="19"/>
      <c r="D14" t="str">
        <f>IF(F14=0,"",HDG(F14,G14,J14))</f>
        <v/>
      </c>
      <c r="E14">
        <f>IF(F14=0,0,GS(F14,G14,J14))</f>
        <v>0</v>
      </c>
      <c r="F14">
        <f>TAS(H14,DA(K14,$G$2,$K$2))</f>
        <v>0</v>
      </c>
      <c r="G14" s="16" t="str">
        <f>IF(I14="","",MAGNETIC_COURSE($D$2,I14))</f>
        <v/>
      </c>
      <c r="H14" s="20"/>
      <c r="I14" s="20"/>
      <c r="J14" s="27"/>
      <c r="K14" s="20"/>
      <c r="L14" s="20"/>
      <c r="M14" s="20"/>
      <c r="N14" s="9">
        <f t="shared" si="0"/>
        <v>11</v>
      </c>
    </row>
    <row r="15" spans="1:14" ht="11.55" customHeight="1">
      <c r="A15" s="18" t="str">
        <f>IF(B15="",A14,DECTOMS(MSTODEC(A14) + MSTODEC(B15)))</f>
        <v/>
      </c>
      <c r="B15" s="18" t="str">
        <f>IF(OR(F15=0,C15=""),"",DECTOMS(C15/F15*60))</f>
        <v/>
      </c>
      <c r="C15" s="19"/>
      <c r="D15" t="str">
        <f>IF(F15=0,"",HDG(F15,G15,J15))</f>
        <v/>
      </c>
      <c r="E15">
        <f>IF(F15=0,0,GS(F15,G15,J15))</f>
        <v>0</v>
      </c>
      <c r="F15">
        <f>TAS(H15,DA(K15,$G$2,$K$2))</f>
        <v>0</v>
      </c>
      <c r="G15" s="16" t="str">
        <f>IF(I15="","",MAGNETIC_COURSE($D$2,I15))</f>
        <v/>
      </c>
      <c r="H15" s="20"/>
      <c r="I15" s="20"/>
      <c r="J15" s="27"/>
      <c r="K15" s="20"/>
      <c r="L15" s="20"/>
      <c r="M15" s="20"/>
      <c r="N15" s="9">
        <f t="shared" si="0"/>
        <v>12</v>
      </c>
    </row>
    <row r="16" spans="1:14" ht="11.55" customHeight="1">
      <c r="A16" s="15"/>
      <c r="B16" s="21"/>
      <c r="C16" s="16"/>
      <c r="D16"/>
      <c r="E16"/>
      <c r="F16"/>
      <c r="G16" s="16"/>
      <c r="H16" s="16"/>
      <c r="I16" s="16"/>
      <c r="J16" s="16"/>
      <c r="K16" s="16"/>
      <c r="L16" s="17" t="s">
        <v>23</v>
      </c>
      <c r="M16" s="17" t="s">
        <v>24</v>
      </c>
      <c r="N16" s="9">
        <f t="shared" si="0"/>
        <v>13</v>
      </c>
    </row>
    <row r="17" spans="1:14" s="22" customFormat="1" ht="11.55" customHeight="1">
      <c r="A17" s="31" t="s">
        <v>25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</row>
    <row r="18" spans="1:14" ht="11.55" customHeight="1">
      <c r="A18" s="15"/>
      <c r="B18" s="15"/>
      <c r="C18" s="16"/>
      <c r="D18"/>
      <c r="E18"/>
      <c r="F18"/>
      <c r="G18" s="23"/>
      <c r="H18" s="24"/>
      <c r="I18" s="24"/>
      <c r="J18" s="24"/>
      <c r="K18" s="24"/>
      <c r="L18" s="17" t="s">
        <v>21</v>
      </c>
      <c r="M18" s="17" t="s">
        <v>22</v>
      </c>
      <c r="N18" s="9">
        <v>1</v>
      </c>
    </row>
    <row r="19" spans="1:14" ht="11.55" customHeight="1">
      <c r="A19" s="18" t="str">
        <f>B19</f>
        <v/>
      </c>
      <c r="B19" s="18" t="str">
        <f>IF(OR(F19=0,C19=""),"",DECTOMS(C19/F19*60))</f>
        <v/>
      </c>
      <c r="C19" s="19"/>
      <c r="D19" t="str">
        <f>IF(F19=0,"",HDG(F19,G19,J19))</f>
        <v/>
      </c>
      <c r="E19">
        <f>IF(F19=0,0,GS(F19,G19,J19))</f>
        <v>0</v>
      </c>
      <c r="F19">
        <f>TAS(H19,DA(K19,$G$2,$K$2))</f>
        <v>0</v>
      </c>
      <c r="G19" s="16" t="str">
        <f>IF(I19="","",MAGNETIC_COURSE($D$2,I19))</f>
        <v/>
      </c>
      <c r="H19" s="20"/>
      <c r="I19" s="20"/>
      <c r="J19" s="27"/>
      <c r="K19" s="20"/>
      <c r="L19" s="20"/>
      <c r="M19" s="20"/>
      <c r="N19" s="9">
        <f t="shared" ref="N19:N30" si="1">N18+1</f>
        <v>2</v>
      </c>
    </row>
    <row r="20" spans="1:14" ht="11.55" customHeight="1">
      <c r="A20" s="18" t="str">
        <f>IF(B20="",A19,DECTOMS(MSTODEC(A19) + MSTODEC(B20)))</f>
        <v/>
      </c>
      <c r="B20" s="18" t="str">
        <f>IF(OR(F20=0,C20=""),"",DECTOMS(C20/F20*60))</f>
        <v/>
      </c>
      <c r="C20" s="19"/>
      <c r="D20" t="str">
        <f>IF(F20=0,"",HDG(F20,G20,J20))</f>
        <v/>
      </c>
      <c r="E20">
        <f>IF(F20=0,0,GS(F20,G20,J20))</f>
        <v>0</v>
      </c>
      <c r="F20">
        <f>TAS(H20,DA(K20,$G$2,$K$2))</f>
        <v>0</v>
      </c>
      <c r="G20" s="16" t="str">
        <f>IF(I20="","",MAGNETIC_COURSE($D$2,I20))</f>
        <v/>
      </c>
      <c r="H20" s="20"/>
      <c r="I20" s="20"/>
      <c r="J20" s="27"/>
      <c r="K20" s="20"/>
      <c r="L20" s="20"/>
      <c r="M20" s="20"/>
      <c r="N20" s="9">
        <f t="shared" si="1"/>
        <v>3</v>
      </c>
    </row>
    <row r="21" spans="1:14" ht="11.55" customHeight="1">
      <c r="A21" s="18" t="str">
        <f>IF(B21="",A20,DECTOMS(MSTODEC(A20) + MSTODEC(B21)))</f>
        <v/>
      </c>
      <c r="B21" s="18" t="str">
        <f>IF(OR(F21=0,C21=""),"",DECTOMS(C21/F21*60))</f>
        <v/>
      </c>
      <c r="C21" s="19"/>
      <c r="D21" t="str">
        <f>IF(F21=0,"",HDG(F21,G21,J21))</f>
        <v/>
      </c>
      <c r="E21">
        <f>IF(F21=0,0,GS(F21,G21,J21))</f>
        <v>0</v>
      </c>
      <c r="F21">
        <f>TAS(H21,DA(K21,$G$2,$K$2))</f>
        <v>0</v>
      </c>
      <c r="G21" s="16" t="str">
        <f>IF(I21="","",MAGNETIC_COURSE($D$2,I21))</f>
        <v/>
      </c>
      <c r="H21" s="20"/>
      <c r="I21" s="20"/>
      <c r="J21" s="27"/>
      <c r="K21" s="20"/>
      <c r="L21" s="20"/>
      <c r="M21" s="20"/>
      <c r="N21" s="9">
        <f t="shared" si="1"/>
        <v>4</v>
      </c>
    </row>
    <row r="22" spans="1:14" ht="11.55" customHeight="1">
      <c r="A22" s="18" t="str">
        <f>IF(B22="",A21,DECTOMS(MSTODEC(A21) + MSTODEC(B22)))</f>
        <v/>
      </c>
      <c r="B22" s="18" t="str">
        <f>IF(OR(F22=0,C22=""),"",DECTOMS(C22/F22*60))</f>
        <v/>
      </c>
      <c r="C22" s="19"/>
      <c r="D22" t="str">
        <f>IF(F22=0,"",HDG(F22,G22,J22))</f>
        <v/>
      </c>
      <c r="E22">
        <f>IF(F22=0,0,GS(F22,G22,J22))</f>
        <v>0</v>
      </c>
      <c r="F22">
        <f>TAS(H22,DA(K22,$G$2,$K$2))</f>
        <v>0</v>
      </c>
      <c r="G22" s="16" t="str">
        <f>IF(I22="","",MAGNETIC_COURSE($D$2,I22))</f>
        <v/>
      </c>
      <c r="H22" s="20"/>
      <c r="I22" s="20"/>
      <c r="J22" s="27"/>
      <c r="K22" s="20"/>
      <c r="L22" s="20"/>
      <c r="M22" s="20"/>
      <c r="N22" s="9">
        <f t="shared" si="1"/>
        <v>5</v>
      </c>
    </row>
    <row r="23" spans="1:14" ht="11.55" customHeight="1">
      <c r="A23" s="18" t="str">
        <f>IF(B23="",A22,DECTOMS(MSTODEC(A22) + MSTODEC(B23)))</f>
        <v/>
      </c>
      <c r="B23" s="18" t="str">
        <f>IF(OR(F23=0,C23=""),"",DECTOMS(C23/F23*60))</f>
        <v/>
      </c>
      <c r="C23" s="19"/>
      <c r="D23" t="str">
        <f>IF(F23=0,"",HDG(F23,G23,J23))</f>
        <v/>
      </c>
      <c r="E23">
        <f>IF(F23=0,0,GS(F23,G23,J23))</f>
        <v>0</v>
      </c>
      <c r="F23">
        <f>TAS(H23,DA(K23,$G$2,$K$2))</f>
        <v>0</v>
      </c>
      <c r="G23" s="16" t="str">
        <f>IF(I23="","",MAGNETIC_COURSE($D$2,I23))</f>
        <v/>
      </c>
      <c r="H23" s="20"/>
      <c r="I23" s="20"/>
      <c r="J23" s="27"/>
      <c r="K23" s="20"/>
      <c r="L23" s="20"/>
      <c r="M23" s="20"/>
      <c r="N23" s="9">
        <f t="shared" si="1"/>
        <v>6</v>
      </c>
    </row>
    <row r="24" spans="1:14" ht="11.55" customHeight="1">
      <c r="A24" s="18" t="str">
        <f>IF(B24="",A23,DECTOMS(MSTODEC(A23) + MSTODEC(B24)))</f>
        <v/>
      </c>
      <c r="B24" s="18" t="str">
        <f>IF(OR(F24=0,C24=""),"",DECTOMS(C24/F24*60))</f>
        <v/>
      </c>
      <c r="C24" s="19"/>
      <c r="D24" t="str">
        <f>IF(F24=0,"",HDG(F24,G24,J24))</f>
        <v/>
      </c>
      <c r="E24">
        <f>IF(F24=0,0,GS(F24,G24,J24))</f>
        <v>0</v>
      </c>
      <c r="F24">
        <f>TAS(H24,DA(K24,$G$2,$K$2))</f>
        <v>0</v>
      </c>
      <c r="G24" s="16" t="str">
        <f>IF(I24="","",MAGNETIC_COURSE($D$2,I24))</f>
        <v/>
      </c>
      <c r="H24" s="20"/>
      <c r="I24" s="20"/>
      <c r="J24" s="27"/>
      <c r="K24" s="20"/>
      <c r="L24" s="20"/>
      <c r="M24" s="20"/>
      <c r="N24" s="9">
        <f t="shared" si="1"/>
        <v>7</v>
      </c>
    </row>
    <row r="25" spans="1:14" ht="11.55" customHeight="1">
      <c r="A25" s="18" t="str">
        <f>IF(B25="",A24,DECTOMS(MSTODEC(A24) + MSTODEC(B25)))</f>
        <v/>
      </c>
      <c r="B25" s="18" t="str">
        <f>IF(OR(F25=0,C25=""),"",DECTOMS(C25/F25*60))</f>
        <v/>
      </c>
      <c r="C25" s="19"/>
      <c r="D25" t="str">
        <f>IF(F25=0,"",HDG(F25,G25,J25))</f>
        <v/>
      </c>
      <c r="E25">
        <f>IF(F25=0,0,GS(F25,G25,J25))</f>
        <v>0</v>
      </c>
      <c r="F25">
        <f>TAS(H25,DA(K25,$G$2,$K$2))</f>
        <v>0</v>
      </c>
      <c r="G25" s="16" t="str">
        <f>IF(I25="","",MAGNETIC_COURSE($D$2,I25))</f>
        <v/>
      </c>
      <c r="H25" s="20"/>
      <c r="I25" s="20"/>
      <c r="J25" s="27"/>
      <c r="K25" s="20"/>
      <c r="L25" s="20"/>
      <c r="M25" s="20"/>
      <c r="N25" s="9">
        <f t="shared" si="1"/>
        <v>8</v>
      </c>
    </row>
    <row r="26" spans="1:14" ht="11.55" customHeight="1">
      <c r="A26" s="18" t="str">
        <f>IF(B26="",A25,DECTOMS(MSTODEC(A25) + MSTODEC(B26)))</f>
        <v/>
      </c>
      <c r="B26" s="18" t="str">
        <f>IF(OR(F26=0,C26=""),"",DECTOMS(C26/F26*60))</f>
        <v/>
      </c>
      <c r="C26" s="19"/>
      <c r="D26" t="str">
        <f>IF(F26=0,"",HDG(F26,G26,J26))</f>
        <v/>
      </c>
      <c r="E26">
        <f>IF(F26=0,0,GS(F26,G26,J26))</f>
        <v>0</v>
      </c>
      <c r="F26">
        <f>TAS(H26,DA(K26,$G$2,$K$2))</f>
        <v>0</v>
      </c>
      <c r="G26" s="16" t="str">
        <f>IF(I26="","",MAGNETIC_COURSE($D$2,I26))</f>
        <v/>
      </c>
      <c r="H26" s="20"/>
      <c r="I26" s="20"/>
      <c r="J26" s="27"/>
      <c r="K26" s="20"/>
      <c r="L26" s="20"/>
      <c r="M26" s="20"/>
      <c r="N26" s="9">
        <f t="shared" si="1"/>
        <v>9</v>
      </c>
    </row>
    <row r="27" spans="1:14" ht="11.55" customHeight="1">
      <c r="A27" s="18" t="str">
        <f>IF(B27="",A26,DECTOMS(MSTODEC(A26) + MSTODEC(B27)))</f>
        <v/>
      </c>
      <c r="B27" s="18" t="str">
        <f>IF(OR(F27=0,C27=""),"",DECTOMS(C27/F27*60))</f>
        <v/>
      </c>
      <c r="C27" s="19"/>
      <c r="D27" t="str">
        <f>IF(F27=0,"",HDG(F27,G27,J27))</f>
        <v/>
      </c>
      <c r="E27">
        <f>IF(F27=0,0,GS(F27,G27,J27))</f>
        <v>0</v>
      </c>
      <c r="F27">
        <f>TAS(H27,DA(K27,$G$2,$K$2))</f>
        <v>0</v>
      </c>
      <c r="G27" s="16" t="str">
        <f>IF(I27="","",MAGNETIC_COURSE($D$2,I27))</f>
        <v/>
      </c>
      <c r="H27" s="20"/>
      <c r="I27" s="20"/>
      <c r="J27" s="27"/>
      <c r="K27" s="20"/>
      <c r="L27" s="20"/>
      <c r="M27" s="20"/>
      <c r="N27" s="9">
        <f t="shared" si="1"/>
        <v>10</v>
      </c>
    </row>
    <row r="28" spans="1:14" ht="11.55" customHeight="1">
      <c r="A28" s="18" t="str">
        <f>IF(B28="",A27,DECTOMS(MSTODEC(A27) + MSTODEC(B28)))</f>
        <v/>
      </c>
      <c r="B28" s="18" t="str">
        <f>IF(OR(F28=0,C28=""),"",DECTOMS(C28/F28*60))</f>
        <v/>
      </c>
      <c r="C28" s="19"/>
      <c r="D28" t="str">
        <f>IF(F28=0,"",HDG(F28,G28,J28))</f>
        <v/>
      </c>
      <c r="E28">
        <f>IF(F28=0,0,GS(F28,G28,J28))</f>
        <v>0</v>
      </c>
      <c r="F28">
        <f>TAS(H28,DA(K28,$G$2,$K$2))</f>
        <v>0</v>
      </c>
      <c r="G28" s="16" t="str">
        <f>IF(I28="","",MAGNETIC_COURSE($D$2,I28))</f>
        <v/>
      </c>
      <c r="H28" s="20"/>
      <c r="I28" s="20"/>
      <c r="J28" s="27"/>
      <c r="K28" s="20"/>
      <c r="L28" s="20"/>
      <c r="M28" s="20"/>
      <c r="N28" s="9">
        <f t="shared" si="1"/>
        <v>11</v>
      </c>
    </row>
    <row r="29" spans="1:14" ht="11.55" customHeight="1">
      <c r="A29" s="18" t="str">
        <f>IF(B29="",A28,DECTOMS(MSTODEC(A28) + MSTODEC(B29)))</f>
        <v/>
      </c>
      <c r="B29" s="18" t="str">
        <f>IF(OR(F29=0,C29=""),"",DECTOMS(C29/F29*60))</f>
        <v/>
      </c>
      <c r="C29" s="19"/>
      <c r="D29" t="str">
        <f>IF(F29=0,"",HDG(F29,G29,J29))</f>
        <v/>
      </c>
      <c r="E29">
        <f>IF(F29=0,0,GS(F29,G29,J29))</f>
        <v>0</v>
      </c>
      <c r="F29">
        <f>TAS(H29,DA(K29,$G$2,$K$2))</f>
        <v>0</v>
      </c>
      <c r="G29" s="16" t="str">
        <f>IF(I29="","",MAGNETIC_COURSE($D$2,I29))</f>
        <v/>
      </c>
      <c r="H29" s="20"/>
      <c r="I29" s="20"/>
      <c r="J29" s="27"/>
      <c r="K29" s="20"/>
      <c r="L29" s="20"/>
      <c r="M29" s="20"/>
      <c r="N29" s="9">
        <f t="shared" si="1"/>
        <v>12</v>
      </c>
    </row>
    <row r="30" spans="1:14" ht="11.55" customHeight="1">
      <c r="A30" s="15"/>
      <c r="B30" s="21"/>
      <c r="C30" s="16"/>
      <c r="D30"/>
      <c r="E30"/>
      <c r="F30"/>
      <c r="G30" s="23"/>
      <c r="H30" s="24"/>
      <c r="I30" s="24"/>
      <c r="J30" s="24"/>
      <c r="K30" s="24"/>
      <c r="L30" s="17" t="s">
        <v>23</v>
      </c>
      <c r="M30" s="17" t="s">
        <v>24</v>
      </c>
      <c r="N30" s="9">
        <f t="shared" si="1"/>
        <v>13</v>
      </c>
    </row>
    <row r="31" spans="1:14" s="25" customFormat="1" ht="11.55" customHeight="1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1:14" ht="12.75" customHeight="1">
      <c r="A32" s="21"/>
      <c r="B32" s="21"/>
      <c r="C32"/>
      <c r="D32"/>
      <c r="E32"/>
      <c r="F32"/>
      <c r="G32"/>
      <c r="H32"/>
      <c r="I32"/>
      <c r="J32"/>
      <c r="K32"/>
      <c r="L32"/>
      <c r="M32"/>
      <c r="N32"/>
    </row>
    <row r="33" spans="1:14" ht="11.55" customHeight="1">
      <c r="A33" s="33" t="str">
        <f>A15</f>
        <v/>
      </c>
      <c r="B33" s="33"/>
      <c r="C33" s="33"/>
      <c r="D33" s="33"/>
      <c r="E33" s="33"/>
      <c r="F33" s="33"/>
      <c r="G33" s="33"/>
      <c r="H33" s="33"/>
      <c r="I33" s="33"/>
      <c r="J33" s="33"/>
      <c r="K33" s="34" t="s">
        <v>26</v>
      </c>
      <c r="L33" s="34"/>
      <c r="M33" s="34"/>
      <c r="N33" s="9"/>
    </row>
    <row r="34" spans="1:14" ht="11.55" customHeight="1">
      <c r="A34" s="33" t="str">
        <f>A29</f>
        <v/>
      </c>
      <c r="B34" s="33"/>
      <c r="C34" s="33"/>
      <c r="D34" s="33"/>
      <c r="E34" s="33"/>
      <c r="F34" s="33"/>
      <c r="G34" s="33"/>
      <c r="H34" s="33"/>
      <c r="I34" s="33"/>
      <c r="J34" s="33"/>
      <c r="K34" s="34" t="s">
        <v>27</v>
      </c>
      <c r="L34" s="34"/>
      <c r="M34" s="34"/>
      <c r="N34" s="9"/>
    </row>
    <row r="35" spans="1:14" ht="11.55" customHeight="1">
      <c r="A35" s="33" t="s">
        <v>28</v>
      </c>
      <c r="B35" s="33"/>
      <c r="C35" s="33"/>
      <c r="D35" s="33"/>
      <c r="E35" s="33"/>
      <c r="F35" s="33"/>
      <c r="G35" s="33"/>
      <c r="H35" s="33"/>
      <c r="I35" s="33"/>
      <c r="J35" s="33"/>
      <c r="K35" s="34" t="s">
        <v>29</v>
      </c>
      <c r="L35" s="34"/>
      <c r="M35" s="34"/>
      <c r="N35" s="9"/>
    </row>
    <row r="36" spans="1:14" ht="11.55" customHeight="1">
      <c r="A36" s="35">
        <v>40</v>
      </c>
      <c r="B36" s="35"/>
      <c r="C36" s="35"/>
      <c r="D36" s="35"/>
      <c r="E36" s="35"/>
      <c r="F36" s="35"/>
      <c r="G36" s="35"/>
      <c r="H36" s="35"/>
      <c r="I36" s="35"/>
      <c r="J36" s="35"/>
      <c r="K36" s="34" t="s">
        <v>30</v>
      </c>
      <c r="L36" s="34"/>
      <c r="M36" s="34"/>
      <c r="N36" s="9"/>
    </row>
    <row r="37" spans="1:14" ht="11.55" customHeight="1">
      <c r="A37" s="29">
        <f>(MSTODEC(A33)+MSTODEC(A34)+MSTODEC(A35))/60*$I$2 + $A$2</f>
        <v>6.45</v>
      </c>
      <c r="B37" s="29"/>
      <c r="C37" s="29"/>
      <c r="D37" s="29"/>
      <c r="E37" s="29"/>
      <c r="F37" s="29"/>
      <c r="G37" s="29"/>
      <c r="H37" s="29"/>
      <c r="I37" s="29"/>
      <c r="J37" s="29"/>
      <c r="K37" s="34" t="s">
        <v>31</v>
      </c>
      <c r="L37" s="34"/>
      <c r="M37" s="34"/>
      <c r="N37" s="9"/>
    </row>
    <row r="38" spans="1:14" ht="11.55" customHeight="1">
      <c r="A38" s="29">
        <f>A36-A37</f>
        <v>33.549999999999997</v>
      </c>
      <c r="B38" s="29"/>
      <c r="C38" s="29"/>
      <c r="D38" s="29"/>
      <c r="E38" s="29"/>
      <c r="F38" s="29"/>
      <c r="G38" s="29"/>
      <c r="H38" s="29"/>
      <c r="I38" s="29"/>
      <c r="J38" s="29"/>
      <c r="K38" s="34" t="s">
        <v>32</v>
      </c>
      <c r="L38" s="34"/>
      <c r="M38" s="34"/>
      <c r="N38" s="9"/>
    </row>
  </sheetData>
  <mergeCells count="18">
    <mergeCell ref="A38:J38"/>
    <mergeCell ref="K38:M38"/>
    <mergeCell ref="A35:J35"/>
    <mergeCell ref="K35:M35"/>
    <mergeCell ref="A36:J36"/>
    <mergeCell ref="K36:M36"/>
    <mergeCell ref="A37:J37"/>
    <mergeCell ref="K37:M37"/>
    <mergeCell ref="A31:N31"/>
    <mergeCell ref="A33:J33"/>
    <mergeCell ref="K33:M33"/>
    <mergeCell ref="A34:J34"/>
    <mergeCell ref="K34:M34"/>
    <mergeCell ref="A1:N1"/>
    <mergeCell ref="B2:C2"/>
    <mergeCell ref="E2:F2"/>
    <mergeCell ref="L2:M2"/>
    <mergeCell ref="A17:N17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horizontalDpi="300" verticalDpi="300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47</cp:revision>
  <cp:lastPrinted>2019-03-14T03:08:49Z</cp:lastPrinted>
  <dcterms:created xsi:type="dcterms:W3CDTF">2019-03-05T15:38:01Z</dcterms:created>
  <dcterms:modified xsi:type="dcterms:W3CDTF">2019-03-29T06:37:48Z</dcterms:modified>
  <dc:language>en-US</dc:language>
</cp:coreProperties>
</file>