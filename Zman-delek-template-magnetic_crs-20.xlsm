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FC53EB24-C328-490D-9C71-A6E44F27EE31}" xr6:coauthVersionLast="43" xr6:coauthVersionMax="43" xr10:uidLastSave="{00000000-0000-0000-0000-000000000000}"/>
  <bookViews>
    <workbookView xWindow="-108" yWindow="-108" windowWidth="23256" windowHeight="12576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49" i="1" l="1"/>
  <c r="F25" i="1"/>
  <c r="F51" i="1" l="1"/>
  <c r="E48" i="1"/>
  <c r="E47" i="1"/>
  <c r="E46" i="1"/>
  <c r="E23" i="1"/>
  <c r="E24" i="1"/>
  <c r="E36" i="1"/>
  <c r="E37" i="1"/>
  <c r="E38" i="1"/>
  <c r="E39" i="1"/>
  <c r="E40" i="1"/>
  <c r="E41" i="1"/>
  <c r="E42" i="1"/>
  <c r="E43" i="1"/>
  <c r="E44" i="1"/>
  <c r="E45" i="1"/>
  <c r="E20" i="1"/>
  <c r="E19" i="1"/>
  <c r="E18" i="1"/>
  <c r="E17" i="1"/>
  <c r="E16" i="1"/>
  <c r="E15" i="1"/>
  <c r="E21" i="1"/>
  <c r="E22" i="1"/>
  <c r="C48" i="1" l="1"/>
  <c r="B48" i="1"/>
  <c r="D48" i="1"/>
  <c r="C47" i="1"/>
  <c r="B47" i="1"/>
  <c r="D47" i="1"/>
  <c r="C46" i="1"/>
  <c r="B46" i="1"/>
  <c r="D46" i="1"/>
  <c r="C23" i="1"/>
  <c r="B23" i="1"/>
  <c r="D23" i="1"/>
  <c r="C24" i="1"/>
  <c r="B24" i="1"/>
  <c r="D24" i="1"/>
  <c r="C45" i="1"/>
  <c r="D45" i="1"/>
  <c r="B45" i="1" s="1"/>
  <c r="C44" i="1"/>
  <c r="D44" i="1"/>
  <c r="B44" i="1" s="1"/>
  <c r="C43" i="1"/>
  <c r="D43" i="1"/>
  <c r="B43" i="1" s="1"/>
  <c r="C42" i="1"/>
  <c r="D42" i="1"/>
  <c r="B42" i="1" s="1"/>
  <c r="C41" i="1"/>
  <c r="D41" i="1"/>
  <c r="B41" i="1" s="1"/>
  <c r="D40" i="1"/>
  <c r="B40" i="1" s="1"/>
  <c r="C40" i="1"/>
  <c r="C39" i="1"/>
  <c r="D39" i="1"/>
  <c r="B39" i="1" s="1"/>
  <c r="C38" i="1"/>
  <c r="D38" i="1"/>
  <c r="B38" i="1" s="1"/>
  <c r="C37" i="1"/>
  <c r="D37" i="1"/>
  <c r="B37" i="1" s="1"/>
  <c r="D36" i="1"/>
  <c r="B36" i="1" s="1"/>
  <c r="C36" i="1"/>
  <c r="D22" i="1"/>
  <c r="C22" i="1"/>
  <c r="D21" i="1"/>
  <c r="C21" i="1"/>
  <c r="C20" i="1"/>
  <c r="D20" i="1"/>
  <c r="D19" i="1"/>
  <c r="C19" i="1"/>
  <c r="D18" i="1"/>
  <c r="C18" i="1"/>
  <c r="C17" i="1"/>
  <c r="D17" i="1"/>
  <c r="D16" i="1"/>
  <c r="C16" i="1"/>
  <c r="D15" i="1"/>
  <c r="C15" i="1"/>
  <c r="M29" i="1" l="1"/>
  <c r="M30" i="1" s="1"/>
  <c r="M31" i="1" s="1"/>
  <c r="M32" i="1" s="1"/>
  <c r="M33" i="1" s="1"/>
  <c r="M34" i="1" s="1"/>
  <c r="M35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E31" i="1"/>
  <c r="E32" i="1"/>
  <c r="E33" i="1"/>
  <c r="E34" i="1"/>
  <c r="E35" i="1"/>
  <c r="E30" i="1"/>
  <c r="E29" i="1"/>
  <c r="E14" i="1"/>
  <c r="E13" i="1"/>
  <c r="E12" i="1"/>
  <c r="E11" i="1"/>
  <c r="E10" i="1"/>
  <c r="E9" i="1"/>
  <c r="B22" i="1"/>
  <c r="B21" i="1"/>
  <c r="B20" i="1"/>
  <c r="B19" i="1"/>
  <c r="B18" i="1"/>
  <c r="B17" i="1"/>
  <c r="B16" i="1"/>
  <c r="B15" i="1"/>
  <c r="E8" i="1"/>
  <c r="E7" i="1"/>
  <c r="E6" i="1"/>
  <c r="E5" i="1"/>
  <c r="M36" i="1" l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15" i="1"/>
  <c r="M16" i="1" s="1"/>
  <c r="M17" i="1" s="1"/>
  <c r="M18" i="1" s="1"/>
  <c r="C35" i="1"/>
  <c r="D35" i="1"/>
  <c r="B35" i="1" s="1"/>
  <c r="D34" i="1"/>
  <c r="B34" i="1" s="1"/>
  <c r="C34" i="1"/>
  <c r="C33" i="1"/>
  <c r="D33" i="1"/>
  <c r="B33" i="1" s="1"/>
  <c r="C32" i="1"/>
  <c r="D32" i="1"/>
  <c r="B32" i="1" s="1"/>
  <c r="C31" i="1"/>
  <c r="D31" i="1"/>
  <c r="B31" i="1" s="1"/>
  <c r="D29" i="1"/>
  <c r="B29" i="1" s="1"/>
  <c r="C29" i="1"/>
  <c r="D30" i="1"/>
  <c r="C30" i="1"/>
  <c r="C14" i="1"/>
  <c r="D14" i="1"/>
  <c r="D13" i="1"/>
  <c r="C13" i="1"/>
  <c r="D12" i="1"/>
  <c r="C12" i="1"/>
  <c r="D11" i="1"/>
  <c r="C11" i="1"/>
  <c r="D10" i="1"/>
  <c r="C10" i="1"/>
  <c r="C9" i="1"/>
  <c r="D9" i="1"/>
  <c r="C8" i="1"/>
  <c r="D8" i="1"/>
  <c r="D7" i="1"/>
  <c r="C7" i="1"/>
  <c r="C6" i="1"/>
  <c r="D6" i="1"/>
  <c r="D5" i="1"/>
  <c r="C5" i="1"/>
  <c r="A29" i="1" l="1"/>
  <c r="M19" i="1"/>
  <c r="M20" i="1" s="1"/>
  <c r="M21" i="1" s="1"/>
  <c r="M22" i="1" s="1"/>
  <c r="M23" i="1" s="1"/>
  <c r="M24" i="1" s="1"/>
  <c r="M25" i="1" s="1"/>
  <c r="B30" i="1"/>
  <c r="A30" i="1"/>
  <c r="B14" i="1"/>
  <c r="B13" i="1"/>
  <c r="B12" i="1"/>
  <c r="B11" i="1"/>
  <c r="B10" i="1"/>
  <c r="B9" i="1"/>
  <c r="B8" i="1"/>
  <c r="B7" i="1"/>
  <c r="B6" i="1"/>
  <c r="B5" i="1"/>
  <c r="A5" i="1" l="1"/>
  <c r="A31" i="1"/>
  <c r="A6" i="1"/>
  <c r="A7" i="1" s="1"/>
  <c r="A8" i="1" s="1"/>
  <c r="A9" i="1"/>
  <c r="A10" i="1" s="1"/>
  <c r="A11" i="1" s="1"/>
  <c r="A12" i="1"/>
  <c r="A13" i="1" s="1"/>
  <c r="A14" i="1" s="1"/>
  <c r="A15" i="1" s="1"/>
  <c r="A16" i="1" s="1"/>
  <c r="A17" i="1" s="1"/>
  <c r="A18" i="1"/>
  <c r="A19" i="1" s="1"/>
  <c r="A20" i="1" s="1"/>
  <c r="A21" i="1" s="1"/>
  <c r="A22" i="1" s="1"/>
  <c r="A23" i="1" l="1"/>
  <c r="A24" i="1" s="1"/>
  <c r="A52" i="1" s="1"/>
  <c r="A32" i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l="1"/>
  <c r="A47" i="1" s="1"/>
  <c r="A48" i="1" s="1"/>
  <c r="A53" i="1" s="1"/>
  <c r="A56" i="1"/>
  <c r="A5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<sst xmlns="http://schemas.openxmlformats.org/spreadsheetml/2006/main" count="47" uniqueCount="30">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</sst>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0" borderId="1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7"/>
  <sheetViews>
    <sheetView tabSelected="1" topLeftCell="A34" zoomScale="150" zoomScaleNormal="150" workbookViewId="0">
      <selection activeCell="F43" sqref="F43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7.2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ht="12.75" customHeight="1">
      <c r="A2" s="6">
        <v>1.2</v>
      </c>
      <c r="B2" s="36" t="s">
        <v>1</v>
      </c>
      <c r="C2" s="36"/>
      <c r="D2" s="36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37" t="s">
        <v>4</v>
      </c>
      <c r="L2" s="37"/>
      <c r="M2" s="9"/>
    </row>
    <row r="3" spans="1:13" s="12" customFormat="1" ht="12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1" t="str">
        <f>B5</f>
        <v/>
      </c>
      <c r="B5" s="31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34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25" si="0">M4+1</f>
        <v>2</v>
      </c>
    </row>
    <row r="6" spans="1:13" ht="11.55" customHeight="1">
      <c r="A6" s="31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 s="34">
        <f t="shared" ref="E6:E14" si="1">TAS(G6,DA(J6,$F$2,$J$2))</f>
        <v>0</v>
      </c>
      <c r="F6" s="18"/>
      <c r="G6" s="18"/>
      <c r="H6" s="18"/>
      <c r="I6" s="18"/>
      <c r="J6" s="18"/>
      <c r="K6" s="18"/>
      <c r="L6" s="18"/>
      <c r="M6" s="9">
        <f t="shared" si="0"/>
        <v>3</v>
      </c>
    </row>
    <row r="7" spans="1:13" ht="11.55" customHeight="1">
      <c r="A7" s="30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 s="34">
        <f t="shared" si="1"/>
        <v>0</v>
      </c>
      <c r="F7" s="18"/>
      <c r="G7" s="18"/>
      <c r="H7" s="18"/>
      <c r="I7" s="18"/>
      <c r="J7" s="18"/>
      <c r="K7" s="18"/>
      <c r="L7" s="18"/>
      <c r="M7" s="9">
        <f t="shared" si="0"/>
        <v>4</v>
      </c>
    </row>
    <row r="8" spans="1:13" ht="11.55" customHeight="1">
      <c r="A8" s="30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 s="34">
        <f t="shared" si="1"/>
        <v>0</v>
      </c>
      <c r="F8" s="18"/>
      <c r="G8" s="18"/>
      <c r="H8" s="18"/>
      <c r="I8" s="18"/>
      <c r="J8" s="18"/>
      <c r="K8" s="18"/>
      <c r="L8" s="18"/>
      <c r="M8" s="9">
        <f t="shared" si="0"/>
        <v>5</v>
      </c>
    </row>
    <row r="9" spans="1:13" ht="11.55" customHeight="1">
      <c r="A9" s="30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 s="34">
        <f t="shared" si="1"/>
        <v>0</v>
      </c>
      <c r="F9" s="18"/>
      <c r="G9" s="18"/>
      <c r="H9" s="18"/>
      <c r="I9" s="18"/>
      <c r="J9" s="18"/>
      <c r="K9" s="18"/>
      <c r="L9" s="18"/>
      <c r="M9" s="9">
        <f t="shared" si="0"/>
        <v>6</v>
      </c>
    </row>
    <row r="10" spans="1:13" ht="11.55" customHeight="1">
      <c r="A10" s="30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 s="34">
        <f t="shared" si="1"/>
        <v>0</v>
      </c>
      <c r="F10" s="18"/>
      <c r="G10" s="18"/>
      <c r="H10" s="18"/>
      <c r="I10" s="18"/>
      <c r="J10" s="18"/>
      <c r="K10" s="18"/>
      <c r="L10" s="18"/>
      <c r="M10" s="9">
        <f t="shared" si="0"/>
        <v>7</v>
      </c>
    </row>
    <row r="11" spans="1:13" ht="11.55" customHeight="1">
      <c r="A11" s="30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 s="34">
        <f t="shared" si="1"/>
        <v>0</v>
      </c>
      <c r="F11" s="18"/>
      <c r="G11" s="18"/>
      <c r="H11" s="18"/>
      <c r="I11" s="18"/>
      <c r="J11" s="18"/>
      <c r="K11" s="18"/>
      <c r="L11" s="18"/>
      <c r="M11" s="9">
        <f t="shared" si="0"/>
        <v>8</v>
      </c>
    </row>
    <row r="12" spans="1:13" ht="11.55" customHeight="1">
      <c r="A12" s="30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 s="34">
        <f t="shared" si="1"/>
        <v>0</v>
      </c>
      <c r="F12" s="18"/>
      <c r="G12" s="18"/>
      <c r="H12" s="18"/>
      <c r="I12" s="18"/>
      <c r="J12" s="18"/>
      <c r="K12" s="18"/>
      <c r="L12" s="18"/>
      <c r="M12" s="9">
        <f t="shared" si="0"/>
        <v>9</v>
      </c>
    </row>
    <row r="13" spans="1:13" ht="11.55" customHeight="1">
      <c r="A13" s="30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 s="34">
        <f t="shared" si="1"/>
        <v>0</v>
      </c>
      <c r="F13" s="18"/>
      <c r="G13" s="18"/>
      <c r="H13" s="18"/>
      <c r="I13" s="18"/>
      <c r="J13" s="18"/>
      <c r="K13" s="18"/>
      <c r="L13" s="18"/>
      <c r="M13" s="9">
        <f t="shared" si="0"/>
        <v>10</v>
      </c>
    </row>
    <row r="14" spans="1:13" ht="11.55" customHeight="1">
      <c r="A14" s="30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 s="34">
        <f t="shared" si="1"/>
        <v>0</v>
      </c>
      <c r="F14" s="18"/>
      <c r="G14" s="18"/>
      <c r="H14" s="18"/>
      <c r="I14" s="18"/>
      <c r="J14" s="18"/>
      <c r="K14" s="18"/>
      <c r="L14" s="18"/>
      <c r="M14" s="9">
        <f t="shared" si="0"/>
        <v>11</v>
      </c>
    </row>
    <row r="15" spans="1:13" s="33" customFormat="1" ht="11.55" customHeight="1">
      <c r="A15" s="32" t="str">
        <f>IF(B15="",A14,DECTOMS(MSTODEC(A14) + MSTODEC(B15)))</f>
        <v/>
      </c>
      <c r="B15" s="17" t="str">
        <f>IF(OR(E15=0,F15=""),"",DECTOMS(F15/D15*60))</f>
        <v/>
      </c>
      <c r="C15" s="33" t="str">
        <f>IF(E15=0,"",HDG(E15,H15,I15))</f>
        <v/>
      </c>
      <c r="D15" s="33">
        <f>IF(E15=0,0,GS(E15,H15,I15))</f>
        <v>0</v>
      </c>
      <c r="E15" s="34">
        <f t="shared" ref="E15:E24" si="2">TAS(G15,DA(J15,$F$2,$J$2))</f>
        <v>0</v>
      </c>
      <c r="F15" s="18"/>
      <c r="G15" s="18"/>
      <c r="H15" s="18"/>
      <c r="I15" s="18"/>
      <c r="J15" s="18"/>
      <c r="K15" s="18"/>
      <c r="L15" s="18"/>
      <c r="M15" s="9">
        <f t="shared" si="0"/>
        <v>12</v>
      </c>
    </row>
    <row r="16" spans="1:13" s="33" customFormat="1" ht="11.55" customHeight="1">
      <c r="A16" s="32" t="str">
        <f>IF(B16="",A15,DECTOMS(MSTODEC(A15) + MSTODEC(B16)))</f>
        <v/>
      </c>
      <c r="B16" s="17" t="str">
        <f>IF(OR(E16=0,F16=""),"",DECTOMS(F16/D16*60))</f>
        <v/>
      </c>
      <c r="C16" s="33" t="str">
        <f>IF(E16=0,"",HDG(E16,H16,I16))</f>
        <v/>
      </c>
      <c r="D16" s="33">
        <f>IF(E16=0,0,GS(E16,H16,I16))</f>
        <v>0</v>
      </c>
      <c r="E16" s="34">
        <f t="shared" si="2"/>
        <v>0</v>
      </c>
      <c r="F16" s="18"/>
      <c r="G16" s="18"/>
      <c r="H16" s="18"/>
      <c r="I16" s="18"/>
      <c r="J16" s="18"/>
      <c r="K16" s="18"/>
      <c r="L16" s="18"/>
      <c r="M16" s="9">
        <f t="shared" si="0"/>
        <v>13</v>
      </c>
    </row>
    <row r="17" spans="1:13" s="33" customFormat="1" ht="11.55" customHeight="1">
      <c r="A17" s="32" t="str">
        <f>IF(B17="",A16,DECTOMS(MSTODEC(A16) + MSTODEC(B17)))</f>
        <v/>
      </c>
      <c r="B17" s="17" t="str">
        <f>IF(OR(E17=0,F17=""),"",DECTOMS(F17/D17*60))</f>
        <v/>
      </c>
      <c r="C17" s="33" t="str">
        <f>IF(E17=0,"",HDG(E17,H17,I17))</f>
        <v/>
      </c>
      <c r="D17" s="33">
        <f>IF(E17=0,0,GS(E17,H17,I17))</f>
        <v>0</v>
      </c>
      <c r="E17" s="34">
        <f t="shared" si="2"/>
        <v>0</v>
      </c>
      <c r="F17" s="18"/>
      <c r="G17" s="18"/>
      <c r="H17" s="18"/>
      <c r="I17" s="18"/>
      <c r="J17" s="18"/>
      <c r="K17" s="18"/>
      <c r="L17" s="18"/>
      <c r="M17" s="9">
        <f t="shared" si="0"/>
        <v>14</v>
      </c>
    </row>
    <row r="18" spans="1:13" s="33" customFormat="1" ht="11.55" customHeight="1">
      <c r="A18" s="32" t="str">
        <f>IF(B18="",A17,DECTOMS(MSTODEC(A17) + MSTODEC(B18)))</f>
        <v/>
      </c>
      <c r="B18" s="17" t="str">
        <f>IF(OR(E18=0,F18=""),"",DECTOMS(F18/D18*60))</f>
        <v/>
      </c>
      <c r="C18" s="33" t="str">
        <f>IF(E18=0,"",HDG(E18,H18,I18))</f>
        <v/>
      </c>
      <c r="D18" s="33">
        <f>IF(E18=0,0,GS(E18,H18,I18))</f>
        <v>0</v>
      </c>
      <c r="E18" s="34">
        <f t="shared" si="2"/>
        <v>0</v>
      </c>
      <c r="F18" s="18"/>
      <c r="G18" s="18"/>
      <c r="H18" s="18"/>
      <c r="I18" s="18"/>
      <c r="J18" s="18"/>
      <c r="K18" s="18"/>
      <c r="L18" s="18"/>
      <c r="M18" s="9">
        <f t="shared" si="0"/>
        <v>15</v>
      </c>
    </row>
    <row r="19" spans="1:13" s="33" customFormat="1" ht="11.55" customHeight="1">
      <c r="A19" s="32" t="str">
        <f>IF(B19="",A18,DECTOMS(MSTODEC(A18) + MSTODEC(B19)))</f>
        <v/>
      </c>
      <c r="B19" s="17" t="str">
        <f>IF(OR(E19=0,F19=""),"",DECTOMS(F19/D19*60))</f>
        <v/>
      </c>
      <c r="C19" s="33" t="str">
        <f>IF(E19=0,"",HDG(E19,H19,I19))</f>
        <v/>
      </c>
      <c r="D19" s="33">
        <f>IF(E19=0,0,GS(E19,H19,I19))</f>
        <v>0</v>
      </c>
      <c r="E19" s="34">
        <f t="shared" ref="E19:E23" si="3">TAS(G19,DA(J19,$F$2,$J$2))</f>
        <v>0</v>
      </c>
      <c r="F19" s="18"/>
      <c r="G19" s="18"/>
      <c r="H19" s="18"/>
      <c r="I19" s="18"/>
      <c r="J19" s="18"/>
      <c r="K19" s="18"/>
      <c r="L19" s="18"/>
      <c r="M19" s="9">
        <f t="shared" si="0"/>
        <v>16</v>
      </c>
    </row>
    <row r="20" spans="1:13" s="33" customFormat="1" ht="11.55" customHeight="1">
      <c r="A20" s="32" t="str">
        <f>IF(B20="",A19,DECTOMS(MSTODEC(A19) + MSTODEC(B20)))</f>
        <v/>
      </c>
      <c r="B20" s="17" t="str">
        <f>IF(OR(E20=0,F20=""),"",DECTOMS(F20/D20*60))</f>
        <v/>
      </c>
      <c r="C20" s="33" t="str">
        <f>IF(E20=0,"",HDG(E20,H20,I20))</f>
        <v/>
      </c>
      <c r="D20" s="33">
        <f>IF(E20=0,0,GS(E20,H20,I20))</f>
        <v>0</v>
      </c>
      <c r="E20" s="34">
        <f t="shared" si="3"/>
        <v>0</v>
      </c>
      <c r="F20" s="18"/>
      <c r="G20" s="18"/>
      <c r="H20" s="18"/>
      <c r="I20" s="18"/>
      <c r="J20" s="18"/>
      <c r="K20" s="18"/>
      <c r="L20" s="18"/>
      <c r="M20" s="9">
        <f t="shared" si="0"/>
        <v>17</v>
      </c>
    </row>
    <row r="21" spans="1:13" s="33" customFormat="1" ht="11.55" customHeight="1">
      <c r="A21" s="32" t="str">
        <f>IF(B21="",A20,DECTOMS(MSTODEC(A20) + MSTODEC(B21)))</f>
        <v/>
      </c>
      <c r="B21" s="17" t="str">
        <f>IF(OR(E21=0,F21=""),"",DECTOMS(F21/D21*60))</f>
        <v/>
      </c>
      <c r="C21" s="33" t="str">
        <f>IF(E21=0,"",HDG(E21,H21,I21))</f>
        <v/>
      </c>
      <c r="D21" s="33">
        <f>IF(E21=0,0,GS(E21,H21,I21))</f>
        <v>0</v>
      </c>
      <c r="E21" s="34">
        <f t="shared" si="3"/>
        <v>0</v>
      </c>
      <c r="F21" s="18"/>
      <c r="G21" s="18"/>
      <c r="H21" s="18"/>
      <c r="I21" s="18"/>
      <c r="J21" s="18"/>
      <c r="K21" s="18"/>
      <c r="L21" s="18"/>
      <c r="M21" s="9">
        <f t="shared" si="0"/>
        <v>18</v>
      </c>
    </row>
    <row r="22" spans="1:13" s="33" customFormat="1" ht="11.55" customHeight="1">
      <c r="A22" s="32" t="str">
        <f>IF(B22="",A21,DECTOMS(MSTODEC(A21) + MSTODEC(B22)))</f>
        <v/>
      </c>
      <c r="B22" s="17" t="str">
        <f>IF(OR(E22=0,F22=""),"",DECTOMS(F22/D22*60))</f>
        <v/>
      </c>
      <c r="C22" s="33" t="str">
        <f>IF(E22=0,"",HDG(E22,H22,I22))</f>
        <v/>
      </c>
      <c r="D22" s="33">
        <f>IF(E22=0,0,GS(E22,H22,I22))</f>
        <v>0</v>
      </c>
      <c r="E22" s="34">
        <f t="shared" si="3"/>
        <v>0</v>
      </c>
      <c r="F22" s="18"/>
      <c r="G22" s="18"/>
      <c r="H22" s="18"/>
      <c r="I22" s="18"/>
      <c r="J22" s="18"/>
      <c r="K22" s="18"/>
      <c r="L22" s="18"/>
      <c r="M22" s="9">
        <f t="shared" si="0"/>
        <v>19</v>
      </c>
    </row>
    <row r="23" spans="1:13" s="33" customFormat="1" ht="11.55" customHeight="1">
      <c r="A23" s="32" t="str">
        <f>IF(B23="",A22,DECTOMS(MSTODEC(A22) + MSTODEC(B23)))</f>
        <v/>
      </c>
      <c r="B23" s="17" t="str">
        <f>IF(OR(E23=0,F23=""),"",DECTOMS(F23/D23*60))</f>
        <v/>
      </c>
      <c r="C23" s="33" t="str">
        <f>IF(E23=0,"",HDG(E23,H23,I23))</f>
        <v/>
      </c>
      <c r="D23" s="33">
        <f>IF(E23=0,0,GS(E23,H23,I23))</f>
        <v>0</v>
      </c>
      <c r="E23" s="34">
        <f t="shared" si="3"/>
        <v>0</v>
      </c>
      <c r="F23" s="18"/>
      <c r="G23" s="18"/>
      <c r="H23" s="18"/>
      <c r="I23" s="27"/>
      <c r="J23" s="18"/>
      <c r="K23" s="18"/>
      <c r="L23" s="18"/>
      <c r="M23" s="9">
        <f t="shared" si="0"/>
        <v>20</v>
      </c>
    </row>
    <row r="24" spans="1:13" s="33" customFormat="1" ht="11.55" customHeight="1">
      <c r="A24" s="32" t="str">
        <f>IF(B24="",A23,DECTOMS(MSTODEC(A23) + MSTODEC(B24)))</f>
        <v/>
      </c>
      <c r="B24" s="17" t="str">
        <f>IF(OR(E24=0,F24=""),"",DECTOMS(F24/D24*60))</f>
        <v/>
      </c>
      <c r="C24" s="33" t="str">
        <f>IF(E24=0,"",HDG(E24,H24,I24))</f>
        <v/>
      </c>
      <c r="D24" s="33">
        <f>IF(E24=0,0,GS(E24,H24,I24))</f>
        <v>0</v>
      </c>
      <c r="E24" s="34">
        <f t="shared" si="2"/>
        <v>0</v>
      </c>
      <c r="F24" s="18"/>
      <c r="G24" s="18"/>
      <c r="H24" s="18"/>
      <c r="I24" s="27"/>
      <c r="J24" s="18"/>
      <c r="K24" s="18"/>
      <c r="L24" s="18"/>
      <c r="M24" s="9">
        <f>M23+1</f>
        <v>21</v>
      </c>
    </row>
    <row r="25" spans="1:13" ht="11.55" customHeight="1">
      <c r="A25" s="14"/>
      <c r="B25" s="19"/>
      <c r="C25"/>
      <c r="D25"/>
      <c r="E25"/>
      <c r="F25" s="15">
        <f>SUM(F5:F24)</f>
        <v>0</v>
      </c>
      <c r="G25" s="15"/>
      <c r="H25" s="15"/>
      <c r="I25" s="26"/>
      <c r="J25" s="15"/>
      <c r="K25" s="16" t="s">
        <v>20</v>
      </c>
      <c r="L25" s="16" t="s">
        <v>21</v>
      </c>
      <c r="M25" s="9">
        <f t="shared" si="0"/>
        <v>22</v>
      </c>
    </row>
    <row r="26" spans="1:13" s="20" customFormat="1" ht="11.55" customHeight="1">
      <c r="A26" s="38" t="s">
        <v>22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  <row r="27" spans="1:13" s="12" customFormat="1" ht="12" customHeight="1">
      <c r="A27" s="10" t="s">
        <v>5</v>
      </c>
      <c r="B27" s="11" t="s">
        <v>6</v>
      </c>
      <c r="C27" s="12" t="s">
        <v>7</v>
      </c>
      <c r="D27" s="13" t="s">
        <v>8</v>
      </c>
      <c r="E27" s="13" t="s">
        <v>9</v>
      </c>
      <c r="F27" s="13" t="s">
        <v>10</v>
      </c>
      <c r="G27" s="13" t="s">
        <v>11</v>
      </c>
      <c r="H27" s="12" t="s">
        <v>12</v>
      </c>
      <c r="I27" s="25" t="s">
        <v>13</v>
      </c>
      <c r="J27" s="12" t="s">
        <v>14</v>
      </c>
      <c r="K27" s="12" t="s">
        <v>15</v>
      </c>
      <c r="L27" s="12" t="s">
        <v>16</v>
      </c>
      <c r="M27" s="12" t="s">
        <v>17</v>
      </c>
    </row>
    <row r="28" spans="1:13" ht="11.55" customHeight="1">
      <c r="A28" s="14"/>
      <c r="B28" s="14"/>
      <c r="C28"/>
      <c r="D28"/>
      <c r="E28"/>
      <c r="F28" s="21"/>
      <c r="G28" s="22"/>
      <c r="H28" s="22"/>
      <c r="I28" s="28"/>
      <c r="J28" s="22"/>
      <c r="K28" s="16" t="s">
        <v>18</v>
      </c>
      <c r="L28" s="16" t="s">
        <v>19</v>
      </c>
      <c r="M28" s="9">
        <v>1</v>
      </c>
    </row>
    <row r="29" spans="1:13" ht="11.55" customHeight="1">
      <c r="A29" s="17" t="str">
        <f>B29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 s="34">
        <f t="shared" ref="E29:E35" si="4">TAS(G29,DA(J29,$F$2,$J$2))</f>
        <v>0</v>
      </c>
      <c r="F29" s="18"/>
      <c r="G29" s="18"/>
      <c r="H29" s="18"/>
      <c r="I29" s="18"/>
      <c r="J29" s="18"/>
      <c r="K29" s="18"/>
      <c r="L29" s="18"/>
      <c r="M29" s="9">
        <f t="shared" ref="M29:M49" si="5">M28+1</f>
        <v>2</v>
      </c>
    </row>
    <row r="30" spans="1:13" ht="11.55" customHeight="1">
      <c r="A30" s="17" t="str">
        <f>IF(B30="",A29,DECTOMS(MSTODEC(A29) + MSTODEC(B30)))</f>
        <v/>
      </c>
      <c r="B30" s="17" t="str">
        <f>IF(OR(E30=0,F30=""),"",DECTOMS(F30/D30*60))</f>
        <v/>
      </c>
      <c r="C30" t="str">
        <f>IF(E30=0,"",HDG(E30,H30,I30))</f>
        <v/>
      </c>
      <c r="D30">
        <f>IF(E30=0,0,GS(E30,H30,I30))</f>
        <v>0</v>
      </c>
      <c r="E30" s="34">
        <f t="shared" si="4"/>
        <v>0</v>
      </c>
      <c r="F30" s="18"/>
      <c r="G30" s="18"/>
      <c r="H30" s="18"/>
      <c r="I30" s="18"/>
      <c r="J30" s="18"/>
      <c r="K30" s="18"/>
      <c r="L30" s="18"/>
      <c r="M30" s="9">
        <f t="shared" si="5"/>
        <v>3</v>
      </c>
    </row>
    <row r="31" spans="1:13" ht="11.55" customHeight="1">
      <c r="A31" s="17" t="str">
        <f>IF(B31="",A30,DECTOMS(MSTODEC(A30) + MSTODEC(B31)))</f>
        <v/>
      </c>
      <c r="B31" s="17" t="str">
        <f>IF(OR(E31=0,F31=""),"",DECTOMS(F31/D31*60))</f>
        <v/>
      </c>
      <c r="C31" t="str">
        <f>IF(E31=0,"",HDG(E31,H31,I31))</f>
        <v/>
      </c>
      <c r="D31">
        <f>IF(E31=0,0,GS(E31,H31,I31))</f>
        <v>0</v>
      </c>
      <c r="E31" s="34">
        <f t="shared" si="4"/>
        <v>0</v>
      </c>
      <c r="F31" s="18"/>
      <c r="G31" s="18"/>
      <c r="H31" s="18"/>
      <c r="I31" s="18"/>
      <c r="J31" s="18"/>
      <c r="K31" s="18"/>
      <c r="L31" s="18"/>
      <c r="M31" s="9">
        <f t="shared" si="5"/>
        <v>4</v>
      </c>
    </row>
    <row r="32" spans="1:13" ht="11.55" customHeight="1">
      <c r="A32" s="17" t="str">
        <f>IF(B32="",A31,DECTOMS(MSTODEC(A31) + MSTODEC(B32)))</f>
        <v/>
      </c>
      <c r="B32" s="17" t="str">
        <f>IF(OR(E32=0,F32=""),"",DECTOMS(F32/D32*60))</f>
        <v/>
      </c>
      <c r="C32" t="str">
        <f>IF(E32=0,"",HDG(E32,H32,I32))</f>
        <v/>
      </c>
      <c r="D32">
        <f>IF(E32=0,0,GS(E32,H32,I32))</f>
        <v>0</v>
      </c>
      <c r="E32" s="34">
        <f t="shared" si="4"/>
        <v>0</v>
      </c>
      <c r="F32" s="18"/>
      <c r="G32" s="18"/>
      <c r="H32" s="18"/>
      <c r="I32" s="18"/>
      <c r="J32" s="18"/>
      <c r="K32" s="18"/>
      <c r="L32" s="18"/>
      <c r="M32" s="9">
        <f t="shared" si="5"/>
        <v>5</v>
      </c>
    </row>
    <row r="33" spans="1:13" ht="11.55" customHeight="1">
      <c r="A33" s="17" t="str">
        <f>IF(B33="",A32,DECTOMS(MSTODEC(A32) + MSTODEC(B33)))</f>
        <v/>
      </c>
      <c r="B33" s="17" t="str">
        <f>IF(OR(E33=0,F33=""),"",DECTOMS(F33/D33*60))</f>
        <v/>
      </c>
      <c r="C33" t="str">
        <f>IF(E33=0,"",HDG(E33,H33,I33))</f>
        <v/>
      </c>
      <c r="D33">
        <f>IF(E33=0,0,GS(E33,H33,I33))</f>
        <v>0</v>
      </c>
      <c r="E33" s="34">
        <f t="shared" si="4"/>
        <v>0</v>
      </c>
      <c r="F33" s="18"/>
      <c r="G33" s="18"/>
      <c r="H33" s="18"/>
      <c r="I33" s="18"/>
      <c r="J33" s="18"/>
      <c r="K33" s="18"/>
      <c r="L33" s="18"/>
      <c r="M33" s="9">
        <f t="shared" si="5"/>
        <v>6</v>
      </c>
    </row>
    <row r="34" spans="1:13" ht="11.55" customHeight="1">
      <c r="A34" s="17" t="str">
        <f>IF(B34="",A33,DECTOMS(MSTODEC(A33) + MSTODEC(B34)))</f>
        <v/>
      </c>
      <c r="B34" s="17" t="str">
        <f>IF(OR(E34=0,F34=""),"",DECTOMS(F34/D34*60))</f>
        <v/>
      </c>
      <c r="C34" t="str">
        <f>IF(E34=0,"",HDG(E34,H34,I34))</f>
        <v/>
      </c>
      <c r="D34">
        <f>IF(E34=0,0,GS(E34,H34,I34))</f>
        <v>0</v>
      </c>
      <c r="E34" s="34">
        <f t="shared" si="4"/>
        <v>0</v>
      </c>
      <c r="F34" s="18"/>
      <c r="G34" s="18"/>
      <c r="H34" s="18"/>
      <c r="I34" s="18"/>
      <c r="J34" s="18"/>
      <c r="K34" s="18"/>
      <c r="L34" s="18"/>
      <c r="M34" s="9">
        <f t="shared" si="5"/>
        <v>7</v>
      </c>
    </row>
    <row r="35" spans="1:13" ht="11.55" customHeight="1">
      <c r="A35" s="17" t="str">
        <f>IF(B35="",A34,DECTOMS(MSTODEC(A34) + MSTODEC(B35)))</f>
        <v/>
      </c>
      <c r="B35" s="17" t="str">
        <f>IF(OR(E35=0,F35=""),"",DECTOMS(F35/D35*60))</f>
        <v/>
      </c>
      <c r="C35" t="str">
        <f>IF(E35=0,"",HDG(E35,H35,I35))</f>
        <v/>
      </c>
      <c r="D35">
        <f>IF(E35=0,0,GS(E35,H35,I35))</f>
        <v>0</v>
      </c>
      <c r="E35" s="34">
        <f t="shared" si="4"/>
        <v>0</v>
      </c>
      <c r="F35" s="18"/>
      <c r="G35" s="18"/>
      <c r="H35" s="18"/>
      <c r="I35" s="18"/>
      <c r="J35" s="18"/>
      <c r="K35" s="18"/>
      <c r="L35" s="18"/>
      <c r="M35" s="9">
        <f t="shared" si="5"/>
        <v>8</v>
      </c>
    </row>
    <row r="36" spans="1:13" s="33" customFormat="1" ht="11.55" customHeight="1">
      <c r="A36" s="17" t="str">
        <f>IF(B36="",A35,DECTOMS(MSTODEC(A35) + MSTODEC(B36)))</f>
        <v/>
      </c>
      <c r="B36" s="17" t="str">
        <f>IF(OR(E36=0,F36=""),"",DECTOMS(F36/D36*60))</f>
        <v/>
      </c>
      <c r="C36" s="33" t="str">
        <f>IF(E36=0,"",HDG(E36,H36,I36))</f>
        <v/>
      </c>
      <c r="D36" s="33">
        <f>IF(E36=0,0,GS(E36,H36,I36))</f>
        <v>0</v>
      </c>
      <c r="E36" s="34">
        <f t="shared" ref="E36:E44" si="6">TAS(G36,DA(J36,$F$2,$J$2))</f>
        <v>0</v>
      </c>
      <c r="F36" s="18"/>
      <c r="G36" s="18"/>
      <c r="H36" s="18"/>
      <c r="I36" s="18"/>
      <c r="J36" s="18"/>
      <c r="K36" s="18"/>
      <c r="L36" s="18"/>
      <c r="M36" s="9">
        <f t="shared" si="5"/>
        <v>9</v>
      </c>
    </row>
    <row r="37" spans="1:13" s="33" customFormat="1" ht="11.55" customHeight="1">
      <c r="A37" s="17" t="str">
        <f>IF(B37="",A36,DECTOMS(MSTODEC(A36) + MSTODEC(B37)))</f>
        <v/>
      </c>
      <c r="B37" s="17" t="str">
        <f>IF(OR(E37=0,F37=""),"",DECTOMS(F37/D37*60))</f>
        <v/>
      </c>
      <c r="C37" s="33" t="str">
        <f>IF(E37=0,"",HDG(E37,H37,I37))</f>
        <v/>
      </c>
      <c r="D37" s="33">
        <f>IF(E37=0,0,GS(E37,H37,I37))</f>
        <v>0</v>
      </c>
      <c r="E37" s="34">
        <f t="shared" si="6"/>
        <v>0</v>
      </c>
      <c r="F37" s="18"/>
      <c r="G37" s="18"/>
      <c r="H37" s="18"/>
      <c r="I37" s="18"/>
      <c r="J37" s="18"/>
      <c r="K37" s="18"/>
      <c r="L37" s="18"/>
      <c r="M37" s="9">
        <f t="shared" si="5"/>
        <v>10</v>
      </c>
    </row>
    <row r="38" spans="1:13" s="33" customFormat="1" ht="11.55" customHeight="1">
      <c r="A38" s="17" t="str">
        <f>IF(B38="",A37,DECTOMS(MSTODEC(A37) + MSTODEC(B38)))</f>
        <v/>
      </c>
      <c r="B38" s="17" t="str">
        <f>IF(OR(E38=0,F38=""),"",DECTOMS(F38/D38*60))</f>
        <v/>
      </c>
      <c r="C38" s="33" t="str">
        <f>IF(E38=0,"",HDG(E38,H38,I38))</f>
        <v/>
      </c>
      <c r="D38" s="33">
        <f>IF(E38=0,0,GS(E38,H38,I38))</f>
        <v>0</v>
      </c>
      <c r="E38" s="34">
        <f t="shared" si="6"/>
        <v>0</v>
      </c>
      <c r="F38" s="18"/>
      <c r="G38" s="18"/>
      <c r="H38" s="18"/>
      <c r="I38" s="18"/>
      <c r="J38" s="18"/>
      <c r="K38" s="18"/>
      <c r="L38" s="18"/>
      <c r="M38" s="9">
        <f t="shared" si="5"/>
        <v>11</v>
      </c>
    </row>
    <row r="39" spans="1:13" s="33" customFormat="1" ht="11.55" customHeight="1">
      <c r="A39" s="17" t="str">
        <f>IF(B39="",A38,DECTOMS(MSTODEC(A38) + MSTODEC(B39)))</f>
        <v/>
      </c>
      <c r="B39" s="17" t="str">
        <f>IF(OR(E39=0,F39=""),"",DECTOMS(F39/D39*60))</f>
        <v/>
      </c>
      <c r="C39" s="33" t="str">
        <f>IF(E39=0,"",HDG(E39,H39,I39))</f>
        <v/>
      </c>
      <c r="D39" s="33">
        <f>IF(E39=0,0,GS(E39,H39,I39))</f>
        <v>0</v>
      </c>
      <c r="E39" s="34">
        <f t="shared" si="6"/>
        <v>0</v>
      </c>
      <c r="F39" s="18"/>
      <c r="G39" s="18"/>
      <c r="H39" s="18"/>
      <c r="I39" s="18"/>
      <c r="J39" s="18"/>
      <c r="K39" s="18"/>
      <c r="L39" s="18"/>
      <c r="M39" s="9">
        <f t="shared" si="5"/>
        <v>12</v>
      </c>
    </row>
    <row r="40" spans="1:13" s="33" customFormat="1" ht="11.55" customHeight="1">
      <c r="A40" s="17" t="str">
        <f>IF(B40="",A39,DECTOMS(MSTODEC(A39) + MSTODEC(B40)))</f>
        <v/>
      </c>
      <c r="B40" s="17" t="str">
        <f>IF(OR(E40=0,F40=""),"",DECTOMS(F40/D40*60))</f>
        <v/>
      </c>
      <c r="C40" s="33" t="str">
        <f>IF(E40=0,"",HDG(E40,H40,I40))</f>
        <v/>
      </c>
      <c r="D40" s="33">
        <f>IF(E40=0,0,GS(E40,H40,I40))</f>
        <v>0</v>
      </c>
      <c r="E40" s="34">
        <f t="shared" si="6"/>
        <v>0</v>
      </c>
      <c r="F40" s="18"/>
      <c r="G40" s="18"/>
      <c r="H40" s="18"/>
      <c r="I40" s="18"/>
      <c r="J40" s="18"/>
      <c r="K40" s="18"/>
      <c r="L40" s="18"/>
      <c r="M40" s="9">
        <f t="shared" si="5"/>
        <v>13</v>
      </c>
    </row>
    <row r="41" spans="1:13" s="33" customFormat="1" ht="11.55" customHeight="1">
      <c r="A41" s="17" t="str">
        <f>IF(B41="",A40,DECTOMS(MSTODEC(A40) + MSTODEC(B41)))</f>
        <v/>
      </c>
      <c r="B41" s="17" t="str">
        <f>IF(OR(E41=0,F41=""),"",DECTOMS(F41/D41*60))</f>
        <v/>
      </c>
      <c r="C41" s="33" t="str">
        <f>IF(E41=0,"",HDG(E41,H41,I41))</f>
        <v/>
      </c>
      <c r="D41" s="33">
        <f>IF(E41=0,0,GS(E41,H41,I41))</f>
        <v>0</v>
      </c>
      <c r="E41" s="34">
        <f t="shared" si="6"/>
        <v>0</v>
      </c>
      <c r="F41" s="18"/>
      <c r="G41" s="18"/>
      <c r="H41" s="18"/>
      <c r="I41" s="18"/>
      <c r="J41" s="18"/>
      <c r="K41" s="18"/>
      <c r="L41" s="18"/>
      <c r="M41" s="9">
        <f t="shared" si="5"/>
        <v>14</v>
      </c>
    </row>
    <row r="42" spans="1:13" s="33" customFormat="1" ht="11.55" customHeight="1">
      <c r="A42" s="17" t="str">
        <f>IF(B42="",A41,DECTOMS(MSTODEC(A41) + MSTODEC(B42)))</f>
        <v/>
      </c>
      <c r="B42" s="17" t="str">
        <f>IF(OR(E42=0,F42=""),"",DECTOMS(F42/D42*60))</f>
        <v/>
      </c>
      <c r="C42" s="33" t="str">
        <f>IF(E42=0,"",HDG(E42,H42,I42))</f>
        <v/>
      </c>
      <c r="D42" s="33">
        <f>IF(E42=0,0,GS(E42,H42,I42))</f>
        <v>0</v>
      </c>
      <c r="E42" s="34">
        <f t="shared" si="6"/>
        <v>0</v>
      </c>
      <c r="F42" s="18"/>
      <c r="G42" s="18"/>
      <c r="H42" s="18"/>
      <c r="I42" s="18"/>
      <c r="J42" s="18"/>
      <c r="K42" s="18"/>
      <c r="L42" s="18"/>
      <c r="M42" s="9">
        <f t="shared" si="5"/>
        <v>15</v>
      </c>
    </row>
    <row r="43" spans="1:13" s="33" customFormat="1" ht="11.55" customHeight="1">
      <c r="A43" s="17" t="str">
        <f>IF(B43="",A42,DECTOMS(MSTODEC(A42) + MSTODEC(B43)))</f>
        <v/>
      </c>
      <c r="B43" s="17" t="str">
        <f>IF(OR(E43=0,F43=""),"",DECTOMS(F43/D43*60))</f>
        <v/>
      </c>
      <c r="C43" s="33" t="str">
        <f>IF(E43=0,"",HDG(E43,H43,I43))</f>
        <v/>
      </c>
      <c r="D43" s="33">
        <f>IF(E43=0,0,GS(E43,H43,I43))</f>
        <v>0</v>
      </c>
      <c r="E43" s="34">
        <f t="shared" si="6"/>
        <v>0</v>
      </c>
      <c r="F43" s="18"/>
      <c r="G43" s="18"/>
      <c r="H43" s="18"/>
      <c r="I43" s="18"/>
      <c r="J43" s="18"/>
      <c r="K43" s="18"/>
      <c r="L43" s="18"/>
      <c r="M43" s="9">
        <f t="shared" si="5"/>
        <v>16</v>
      </c>
    </row>
    <row r="44" spans="1:13" s="33" customFormat="1" ht="11.55" customHeight="1">
      <c r="A44" s="17" t="str">
        <f>IF(B44="",A43,DECTOMS(MSTODEC(A43) + MSTODEC(B44)))</f>
        <v/>
      </c>
      <c r="B44" s="17" t="str">
        <f>IF(OR(E44=0,F44=""),"",DECTOMS(F44/D44*60))</f>
        <v/>
      </c>
      <c r="C44" s="33" t="str">
        <f>IF(E44=0,"",HDG(E44,H44,I44))</f>
        <v/>
      </c>
      <c r="D44" s="33">
        <f>IF(E44=0,0,GS(E44,H44,I44))</f>
        <v>0</v>
      </c>
      <c r="E44" s="34">
        <f t="shared" si="6"/>
        <v>0</v>
      </c>
      <c r="F44" s="18"/>
      <c r="G44" s="18"/>
      <c r="H44" s="18"/>
      <c r="I44" s="18"/>
      <c r="J44" s="18"/>
      <c r="K44" s="18"/>
      <c r="L44" s="18"/>
      <c r="M44" s="9">
        <f t="shared" si="5"/>
        <v>17</v>
      </c>
    </row>
    <row r="45" spans="1:13" s="33" customFormat="1" ht="11.55" customHeight="1">
      <c r="A45" s="17" t="str">
        <f>IF(B45="",A44,DECTOMS(MSTODEC(A44) + MSTODEC(B45)))</f>
        <v/>
      </c>
      <c r="B45" s="17" t="str">
        <f>IF(OR(E45=0,F45=""),"",DECTOMS(F45/D45*60))</f>
        <v/>
      </c>
      <c r="C45" s="33" t="str">
        <f>IF(E45=0,"",HDG(E45,H45,I45))</f>
        <v/>
      </c>
      <c r="D45" s="33">
        <f>IF(E45=0,0,GS(E45,H45,I45))</f>
        <v>0</v>
      </c>
      <c r="E45" s="34">
        <f t="shared" ref="E45:E48" si="7">TAS(G45,DA(J45,$F$2,$J$2))</f>
        <v>0</v>
      </c>
      <c r="F45" s="18"/>
      <c r="G45" s="18"/>
      <c r="H45" s="18"/>
      <c r="I45" s="18"/>
      <c r="J45" s="18"/>
      <c r="K45" s="18"/>
      <c r="L45" s="18"/>
      <c r="M45" s="9">
        <f t="shared" si="5"/>
        <v>18</v>
      </c>
    </row>
    <row r="46" spans="1:13" s="33" customFormat="1" ht="11.55" customHeight="1">
      <c r="A46" s="17" t="str">
        <f>IF(B46="",A45,DECTOMS(MSTODEC(A45) + MSTODEC(B46)))</f>
        <v/>
      </c>
      <c r="B46" s="17" t="str">
        <f>IF(OR(E46=0,F46=""),"",DECTOMS(F46/D46*60))</f>
        <v/>
      </c>
      <c r="C46" s="33" t="str">
        <f>IF(E46=0,"",HDG(E46,H46,I46))</f>
        <v/>
      </c>
      <c r="D46" s="33">
        <f>IF(E46=0,0,GS(E46,H46,I46))</f>
        <v>0</v>
      </c>
      <c r="E46" s="34">
        <f t="shared" si="7"/>
        <v>0</v>
      </c>
      <c r="F46" s="18"/>
      <c r="G46" s="18"/>
      <c r="H46" s="18"/>
      <c r="I46" s="18"/>
      <c r="J46" s="18"/>
      <c r="K46" s="18"/>
      <c r="L46" s="18"/>
      <c r="M46" s="9">
        <f t="shared" si="5"/>
        <v>19</v>
      </c>
    </row>
    <row r="47" spans="1:13" s="33" customFormat="1" ht="11.55" customHeight="1">
      <c r="A47" s="17" t="str">
        <f>IF(B47="",A46,DECTOMS(MSTODEC(A46) + MSTODEC(B47)))</f>
        <v/>
      </c>
      <c r="B47" s="17" t="str">
        <f>IF(OR(E47=0,F47=""),"",DECTOMS(F47/D47*60))</f>
        <v/>
      </c>
      <c r="C47" s="33" t="str">
        <f>IF(E47=0,"",HDG(E47,H47,I47))</f>
        <v/>
      </c>
      <c r="D47" s="33">
        <f>IF(E47=0,0,GS(E47,H47,I47))</f>
        <v>0</v>
      </c>
      <c r="E47" s="34">
        <f t="shared" si="7"/>
        <v>0</v>
      </c>
      <c r="F47" s="18"/>
      <c r="G47" s="18"/>
      <c r="H47" s="18"/>
      <c r="I47" s="27"/>
      <c r="J47" s="18"/>
      <c r="K47" s="18"/>
      <c r="L47" s="18"/>
      <c r="M47" s="9">
        <f t="shared" si="5"/>
        <v>20</v>
      </c>
    </row>
    <row r="48" spans="1:13" s="33" customFormat="1" ht="11.55" customHeight="1">
      <c r="A48" s="17" t="str">
        <f>IF(B48="",A47,DECTOMS(MSTODEC(A47) + MSTODEC(B48)))</f>
        <v/>
      </c>
      <c r="B48" s="17" t="str">
        <f>IF(OR(E48=0,F48=""),"",DECTOMS(F48/D48*60))</f>
        <v/>
      </c>
      <c r="C48" s="33" t="str">
        <f>IF(E48=0,"",HDG(E48,H48,I48))</f>
        <v/>
      </c>
      <c r="D48" s="33">
        <f>IF(E48=0,0,GS(E48,H48,I48))</f>
        <v>0</v>
      </c>
      <c r="E48" s="34">
        <f t="shared" si="7"/>
        <v>0</v>
      </c>
      <c r="F48" s="18"/>
      <c r="G48" s="18"/>
      <c r="H48" s="18"/>
      <c r="I48" s="27"/>
      <c r="J48" s="18"/>
      <c r="K48" s="18"/>
      <c r="L48" s="18"/>
      <c r="M48" s="9">
        <f t="shared" si="5"/>
        <v>21</v>
      </c>
    </row>
    <row r="49" spans="1:13" ht="11.55" customHeight="1">
      <c r="A49" s="14"/>
      <c r="B49" s="19"/>
      <c r="C49"/>
      <c r="D49"/>
      <c r="E49"/>
      <c r="F49" s="44">
        <f>SUM(F29:F48)</f>
        <v>0</v>
      </c>
      <c r="G49" s="22"/>
      <c r="H49" s="22"/>
      <c r="I49" s="28"/>
      <c r="J49" s="22"/>
      <c r="K49" s="16" t="s">
        <v>20</v>
      </c>
      <c r="L49" s="16" t="s">
        <v>21</v>
      </c>
      <c r="M49" s="9">
        <f t="shared" si="5"/>
        <v>22</v>
      </c>
    </row>
    <row r="50" spans="1:13" s="23" customFormat="1" ht="11.55" customHeight="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</row>
    <row r="51" spans="1:13" ht="12.75" customHeight="1">
      <c r="A51" s="19"/>
      <c r="B51" s="19"/>
      <c r="C51"/>
      <c r="D51"/>
      <c r="E51"/>
      <c r="F51">
        <f>SUM(F25,F49)</f>
        <v>0</v>
      </c>
      <c r="G51"/>
      <c r="H51"/>
      <c r="I51" s="24"/>
      <c r="J51"/>
      <c r="K51"/>
      <c r="L51"/>
      <c r="M51"/>
    </row>
    <row r="52" spans="1:13" ht="11.55" customHeight="1">
      <c r="A52" s="40" t="str">
        <f>A24</f>
        <v/>
      </c>
      <c r="B52" s="40"/>
      <c r="C52" s="40"/>
      <c r="D52" s="40"/>
      <c r="E52" s="40"/>
      <c r="F52" s="40"/>
      <c r="G52" s="40"/>
      <c r="H52" s="40"/>
      <c r="I52" s="40"/>
      <c r="J52" s="41" t="s">
        <v>23</v>
      </c>
      <c r="K52" s="41"/>
      <c r="L52" s="41"/>
      <c r="M52" s="9"/>
    </row>
    <row r="53" spans="1:13" ht="11.55" customHeight="1">
      <c r="A53" s="40" t="str">
        <f>A48</f>
        <v/>
      </c>
      <c r="B53" s="40"/>
      <c r="C53" s="40"/>
      <c r="D53" s="40"/>
      <c r="E53" s="40"/>
      <c r="F53" s="40"/>
      <c r="G53" s="40"/>
      <c r="H53" s="40"/>
      <c r="I53" s="40"/>
      <c r="J53" s="41" t="s">
        <v>24</v>
      </c>
      <c r="K53" s="41"/>
      <c r="L53" s="41"/>
      <c r="M53" s="9"/>
    </row>
    <row r="54" spans="1:13" ht="11.55" customHeight="1">
      <c r="A54" s="40" t="s">
        <v>25</v>
      </c>
      <c r="B54" s="40"/>
      <c r="C54" s="40"/>
      <c r="D54" s="40"/>
      <c r="E54" s="40"/>
      <c r="F54" s="40"/>
      <c r="G54" s="40"/>
      <c r="H54" s="40"/>
      <c r="I54" s="40"/>
      <c r="J54" s="41" t="s">
        <v>26</v>
      </c>
      <c r="K54" s="41"/>
      <c r="L54" s="41"/>
      <c r="M54" s="9"/>
    </row>
    <row r="55" spans="1:13" ht="11.55" customHeight="1">
      <c r="A55" s="42">
        <v>40</v>
      </c>
      <c r="B55" s="42"/>
      <c r="C55" s="42"/>
      <c r="D55" s="42"/>
      <c r="E55" s="42"/>
      <c r="F55" s="42"/>
      <c r="G55" s="42"/>
      <c r="H55" s="42"/>
      <c r="I55" s="42"/>
      <c r="J55" s="41" t="s">
        <v>27</v>
      </c>
      <c r="K55" s="41"/>
      <c r="L55" s="41"/>
      <c r="M55" s="9"/>
    </row>
    <row r="56" spans="1:13" ht="11.55" customHeight="1">
      <c r="A56" s="43">
        <f>(MSTODEC(A52)+MSTODEC(A53)+MSTODEC(A54))/60*$H$2 + $A$2</f>
        <v>7.2</v>
      </c>
      <c r="B56" s="43"/>
      <c r="C56" s="43"/>
      <c r="D56" s="43"/>
      <c r="E56" s="43"/>
      <c r="F56" s="43"/>
      <c r="G56" s="43"/>
      <c r="H56" s="43"/>
      <c r="I56" s="43"/>
      <c r="J56" s="41" t="s">
        <v>28</v>
      </c>
      <c r="K56" s="41"/>
      <c r="L56" s="41"/>
      <c r="M56" s="9"/>
    </row>
    <row r="57" spans="1:13" ht="11.55" customHeight="1">
      <c r="A57" s="43">
        <f>A55-A56</f>
        <v>32.799999999999997</v>
      </c>
      <c r="B57" s="43"/>
      <c r="C57" s="43"/>
      <c r="D57" s="43"/>
      <c r="E57" s="43"/>
      <c r="F57" s="43"/>
      <c r="G57" s="43"/>
      <c r="H57" s="43"/>
      <c r="I57" s="43"/>
      <c r="J57" s="41" t="s">
        <v>29</v>
      </c>
      <c r="K57" s="41"/>
      <c r="L57" s="41"/>
      <c r="M57" s="9"/>
    </row>
  </sheetData>
  <mergeCells count="17">
    <mergeCell ref="A55:I55"/>
    <mergeCell ref="J55:L55"/>
    <mergeCell ref="A56:I56"/>
    <mergeCell ref="J56:L56"/>
    <mergeCell ref="A57:I57"/>
    <mergeCell ref="J57:L57"/>
    <mergeCell ref="A52:I52"/>
    <mergeCell ref="J52:L52"/>
    <mergeCell ref="A53:I53"/>
    <mergeCell ref="J53:L53"/>
    <mergeCell ref="A54:I54"/>
    <mergeCell ref="J54:L54"/>
    <mergeCell ref="A1:M1"/>
    <mergeCell ref="B2:D2"/>
    <mergeCell ref="K2:L2"/>
    <mergeCell ref="A26:M26"/>
    <mergeCell ref="A50:M50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rowBreaks count="1" manualBreakCount="1">
    <brk id="25" max="16383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2019-06-17T15:00:20Z</cp:lastPrinted>
  <dcterms:created xsi:type="dcterms:W3CDTF">2019-03-05T15:38:01Z</dcterms:created>
  <dcterms:modified xsi:type="dcterms:W3CDTF">2019-06-22T08:09:31Z</dcterms:modified>
  <dc:language>en-US</dc:language>
</cp:coreProperties>
</file>