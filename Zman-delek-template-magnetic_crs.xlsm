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70A2BFF2-9694-4E46-A846-A1B8517FD79A}" xr6:coauthVersionLast="43" xr6:coauthVersionMax="43" xr10:uidLastSave="{00000000-0000-0000-0000-000000000000}"/>
  <bookViews>
    <workbookView xWindow="-108" yWindow="-108" windowWidth="23256" windowHeight="12576" tabRatio="221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A19" i="1" l="1"/>
  <c r="M19" i="1" l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E7" i="1"/>
  <c r="E9" i="1"/>
  <c r="E6" i="1"/>
  <c r="E28" i="1"/>
  <c r="E27" i="1"/>
  <c r="E21" i="1"/>
  <c r="E15" i="1"/>
  <c r="E23" i="1"/>
  <c r="E12" i="1"/>
  <c r="E19" i="1"/>
  <c r="E20" i="1"/>
  <c r="E14" i="1"/>
  <c r="E26" i="1"/>
  <c r="E13" i="1"/>
  <c r="E24" i="1"/>
  <c r="E22" i="1"/>
  <c r="E10" i="1"/>
  <c r="E11" i="1"/>
  <c r="E8" i="1"/>
  <c r="E29" i="1"/>
  <c r="E25" i="1"/>
  <c r="E5" i="1"/>
  <c r="D26" i="1" l="1"/>
  <c r="D10" i="1"/>
  <c r="D12" i="1"/>
  <c r="D8" i="1"/>
  <c r="B11" i="1"/>
  <c r="D14" i="1"/>
  <c r="C25" i="1"/>
  <c r="B9" i="1"/>
  <c r="C9" i="1"/>
  <c r="B15" i="1"/>
  <c r="C15" i="1"/>
  <c r="B7" i="1"/>
  <c r="C7" i="1"/>
  <c r="B13" i="1"/>
  <c r="C13" i="1"/>
  <c r="B22" i="1"/>
  <c r="D22" i="1"/>
  <c r="C22" i="1"/>
  <c r="C24" i="1"/>
  <c r="D24" i="1"/>
  <c r="C29" i="1"/>
  <c r="D29" i="1"/>
  <c r="B29" i="1"/>
  <c r="C23" i="1"/>
  <c r="D23" i="1"/>
  <c r="C19" i="1"/>
  <c r="D19" i="1"/>
  <c r="B20" i="1"/>
  <c r="A20" i="1" s="1"/>
  <c r="D20" i="1"/>
  <c r="C20" i="1"/>
  <c r="C21" i="1"/>
  <c r="B21" i="1"/>
  <c r="D21" i="1"/>
  <c r="C27" i="1"/>
  <c r="D27" i="1"/>
  <c r="B27" i="1"/>
  <c r="C28" i="1"/>
  <c r="B28" i="1"/>
  <c r="D28" i="1"/>
  <c r="B26" i="1"/>
  <c r="B24" i="1"/>
  <c r="B25" i="1"/>
  <c r="C26" i="1"/>
  <c r="C11" i="1"/>
  <c r="B19" i="1"/>
  <c r="B23" i="1"/>
  <c r="D25" i="1"/>
  <c r="D7" i="1"/>
  <c r="B8" i="1"/>
  <c r="D9" i="1"/>
  <c r="B10" i="1"/>
  <c r="D11" i="1"/>
  <c r="B12" i="1"/>
  <c r="D13" i="1"/>
  <c r="B14" i="1"/>
  <c r="D15" i="1"/>
  <c r="C8" i="1"/>
  <c r="C10" i="1"/>
  <c r="C12" i="1"/>
  <c r="C14" i="1"/>
  <c r="C6" i="1"/>
  <c r="D6" i="1"/>
  <c r="D5" i="1"/>
  <c r="C5" i="1"/>
  <c r="A21" i="1" l="1"/>
  <c r="A22" i="1" s="1"/>
  <c r="A23" i="1" s="1"/>
  <c r="A24" i="1" s="1"/>
  <c r="A25" i="1" s="1"/>
  <c r="A26" i="1" s="1"/>
  <c r="A27" i="1" s="1"/>
  <c r="A28" i="1" s="1"/>
  <c r="A29" i="1" s="1"/>
  <c r="A34" i="1" s="1"/>
  <c r="B6" i="1"/>
  <c r="B5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33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I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<sst xmlns="http://schemas.openxmlformats.org/spreadsheetml/2006/main" count="34" uniqueCount="30">
  <si>
    <t xml:space="preserve">טבלת  זמן – דלק </t>
  </si>
  <si>
    <t xml:space="preserve">דלק להתנע/הסעה </t>
  </si>
  <si>
    <t>.טמפ</t>
  </si>
  <si>
    <t>דלק/שעה</t>
  </si>
  <si>
    <t>ISA density altitude correction</t>
  </si>
  <si>
    <t>זמן מצטבר</t>
  </si>
  <si>
    <t>זמן לג</t>
  </si>
  <si>
    <t>HDG</t>
  </si>
  <si>
    <t>GS</t>
  </si>
  <si>
    <t>TAS</t>
  </si>
  <si>
    <t>מרחק</t>
  </si>
  <si>
    <t>IAS</t>
  </si>
  <si>
    <t>כוון מגנטי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</si>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</sst>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0" borderId="0" xfId="0" applyAlignment="1">
      <alignment horizontal="left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0" fontId="0" fillId="0" borderId="0" xfId="0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1" xfId="0" applyBorder="1" applyAlignment="1">
      <alignment horizontal="left" indent="1"/>
    </xf>
    <xf numFmtId="49" fontId="6" fillId="3" borderId="1" xfId="0" applyNumberFormat="1" applyFont="1" applyFill="1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2" fillId="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49" fontId="0" fillId="0" borderId="0" xfId="0" applyNumberFormat="1" applyAlignment="1">
      <alignment horizontal="right"/>
    </xf>
    <xf numFmtId="0" fontId="5" fillId="0" borderId="0" xfId="0" applyFont="1"/>
    <xf numFmtId="0" fontId="0" fillId="5" borderId="0" xfId="0" applyFill="1" applyAlignment="1" applyProtection="1">
      <alignment horizontal="right"/>
      <protection locked="0"/>
    </xf>
    <xf numFmtId="0" fontId="0" fillId="0" borderId="0" xfId="0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DA8B7BD-E69A-49D0-8635-0E0E34642B2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AC24DFD3-520E-461F-935A-DEF99DCEF62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8"/>
  <sheetViews>
    <sheetView tabSelected="1" zoomScale="150" zoomScaleNormal="150" workbookViewId="0">
      <selection activeCell="A2" sqref="A2"/>
    </sheetView>
  </sheetViews>
  <sheetFormatPr defaultRowHeight="15.6"/>
  <cols>
    <col min="1" max="1" width="9.33203125" style="1"/>
    <col min="2" max="2" width="7.109375" style="2"/>
    <col min="3" max="3" width="5.21875" style="3"/>
    <col min="4" max="4" width="4.77734375" style="3"/>
    <col min="5" max="5" width="5.88671875" style="3" customWidth="1"/>
    <col min="6" max="6" width="7.5546875" style="3"/>
    <col min="7" max="7" width="5.77734375" style="3"/>
    <col min="8" max="8" width="7.6640625" style="3"/>
    <col min="9" max="9" width="8.5546875" style="29"/>
    <col min="10" max="10" width="7.5546875" style="3" bestFit="1" customWidth="1"/>
    <col min="11" max="11" width="12.77734375" style="3"/>
    <col min="12" max="12" width="12.44140625" style="3"/>
    <col min="13" max="13" width="6" style="4"/>
    <col min="14" max="14" width="11.77734375"/>
  </cols>
  <sheetData>
    <row r="1" spans="1:13" s="5" customFormat="1" ht="16.95" customHeight="1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13" ht="12.75" customHeight="1">
      <c r="A2" s="6">
        <v>1.2</v>
      </c>
      <c r="B2" s="33" t="s">
        <v>1</v>
      </c>
      <c r="C2" s="33"/>
      <c r="D2" s="33"/>
      <c r="E2"/>
      <c r="F2" s="6">
        <v>20</v>
      </c>
      <c r="G2" s="7" t="s">
        <v>2</v>
      </c>
      <c r="H2" s="8">
        <v>8</v>
      </c>
      <c r="I2" s="24" t="s">
        <v>3</v>
      </c>
      <c r="J2" s="8">
        <v>112</v>
      </c>
      <c r="K2" s="34" t="s">
        <v>4</v>
      </c>
      <c r="L2" s="34"/>
      <c r="M2" s="9"/>
    </row>
    <row r="3" spans="1:13" s="12" customFormat="1" ht="11.4" customHeight="1">
      <c r="A3" s="10" t="s">
        <v>5</v>
      </c>
      <c r="B3" s="11" t="s">
        <v>6</v>
      </c>
      <c r="C3" s="12" t="s">
        <v>7</v>
      </c>
      <c r="D3" s="13" t="s">
        <v>8</v>
      </c>
      <c r="E3" s="13" t="s">
        <v>9</v>
      </c>
      <c r="F3" s="13" t="s">
        <v>10</v>
      </c>
      <c r="G3" s="13" t="s">
        <v>11</v>
      </c>
      <c r="H3" s="12" t="s">
        <v>12</v>
      </c>
      <c r="I3" s="25" t="s">
        <v>13</v>
      </c>
      <c r="J3" s="12" t="s">
        <v>14</v>
      </c>
      <c r="K3" s="12" t="s">
        <v>15</v>
      </c>
      <c r="L3" s="12" t="s">
        <v>16</v>
      </c>
      <c r="M3" s="12" t="s">
        <v>17</v>
      </c>
    </row>
    <row r="4" spans="1:13" ht="11.55" customHeight="1">
      <c r="A4" s="14"/>
      <c r="B4" s="14"/>
      <c r="C4"/>
      <c r="D4"/>
      <c r="E4"/>
      <c r="F4" s="15"/>
      <c r="G4" s="15"/>
      <c r="H4" s="15"/>
      <c r="I4" s="26"/>
      <c r="J4" s="15"/>
      <c r="K4" s="16" t="s">
        <v>18</v>
      </c>
      <c r="L4" s="16" t="s">
        <v>19</v>
      </c>
      <c r="M4" s="9">
        <v>1</v>
      </c>
    </row>
    <row r="5" spans="1:13" ht="11.55" customHeight="1">
      <c r="A5" s="31" t="str">
        <f>B5</f>
        <v/>
      </c>
      <c r="B5" s="31" t="str">
        <f>IF(OR(E5=0,F5=""),"",DECTOMS(F5/D5*60))</f>
        <v/>
      </c>
      <c r="C5" t="str">
        <f>IF(E5=0,"",HDG(E5,H5,I5))</f>
        <v/>
      </c>
      <c r="D5">
        <f>IF(E5=0,0,GS(E5,H5,I5))</f>
        <v>0</v>
      </c>
      <c r="E5" s="41">
        <f>TAS(G5,DA(J5,$F$2,$J$2))</f>
        <v>0</v>
      </c>
      <c r="F5" s="18"/>
      <c r="G5" s="18"/>
      <c r="H5" s="18"/>
      <c r="I5" s="18"/>
      <c r="J5" s="18"/>
      <c r="K5" s="18"/>
      <c r="L5" s="18"/>
      <c r="M5" s="9">
        <f t="shared" ref="M5:M16" si="0">M4+1</f>
        <v>2</v>
      </c>
    </row>
    <row r="6" spans="1:13" ht="11.55" customHeight="1">
      <c r="A6" s="31" t="str">
        <f>IF(B6="",A5,DECTOMS(MSTODEC(A5) + MSTODEC(B6)))</f>
        <v/>
      </c>
      <c r="B6" s="17" t="str">
        <f>IF(OR(E6=0,F6=""),"",DECTOMS(F6/D6*60))</f>
        <v/>
      </c>
      <c r="C6" t="str">
        <f>IF(E6=0,"",HDG(E6,H6,I6))</f>
        <v/>
      </c>
      <c r="D6">
        <f>IF(E6=0,0,GS(E6,H6,I6))</f>
        <v>0</v>
      </c>
      <c r="E6" s="41">
        <f t="shared" ref="E6:E15" si="1">TAS(G6,DA(J6,$F$2,$J$2))</f>
        <v>0</v>
      </c>
      <c r="F6" s="18"/>
      <c r="G6" s="18"/>
      <c r="H6" s="18"/>
      <c r="I6" s="27"/>
      <c r="J6" s="18"/>
      <c r="K6" s="18"/>
      <c r="L6" s="18"/>
      <c r="M6" s="9">
        <f t="shared" si="0"/>
        <v>3</v>
      </c>
    </row>
    <row r="7" spans="1:13" ht="11.55" customHeight="1">
      <c r="A7" s="30" t="str">
        <f>IF(B7="",A6,DECTOMS(MSTODEC(A6) + MSTODEC(B7)))</f>
        <v/>
      </c>
      <c r="B7" s="17" t="str">
        <f>IF(OR(E7=0,F7=""),"",DECTOMS(F7/D7*60))</f>
        <v/>
      </c>
      <c r="C7" t="str">
        <f>IF(E7=0,"",HDG(E7,H7,I7))</f>
        <v/>
      </c>
      <c r="D7">
        <f>IF(E7=0,0,GS(E7,H7,I7))</f>
        <v>0</v>
      </c>
      <c r="E7" s="41">
        <f t="shared" si="1"/>
        <v>0</v>
      </c>
      <c r="F7" s="18"/>
      <c r="G7" s="18"/>
      <c r="H7" s="18"/>
      <c r="I7" s="27"/>
      <c r="J7" s="18"/>
      <c r="K7" s="18"/>
      <c r="L7" s="18"/>
      <c r="M7" s="9">
        <f t="shared" si="0"/>
        <v>4</v>
      </c>
    </row>
    <row r="8" spans="1:13" ht="11.55" customHeight="1">
      <c r="A8" s="30" t="str">
        <f>IF(B8="",A7,DECTOMS(MSTODEC(A7) + MSTODEC(B8)))</f>
        <v/>
      </c>
      <c r="B8" s="17" t="str">
        <f>IF(OR(E8=0,F8=""),"",DECTOMS(F8/D8*60))</f>
        <v/>
      </c>
      <c r="C8" t="str">
        <f>IF(E8=0,"",HDG(E8,H8,I8))</f>
        <v/>
      </c>
      <c r="D8">
        <f>IF(E8=0,0,GS(E8,H8,I8))</f>
        <v>0</v>
      </c>
      <c r="E8" s="41">
        <f t="shared" si="1"/>
        <v>0</v>
      </c>
      <c r="F8" s="18"/>
      <c r="G8" s="18"/>
      <c r="H8" s="18"/>
      <c r="I8" s="27"/>
      <c r="J8" s="18"/>
      <c r="K8" s="18"/>
      <c r="L8" s="18"/>
      <c r="M8" s="9">
        <f t="shared" si="0"/>
        <v>5</v>
      </c>
    </row>
    <row r="9" spans="1:13" ht="11.55" customHeight="1">
      <c r="A9" s="30" t="str">
        <f>IF(B9="",A8,DECTOMS(MSTODEC(A8) + MSTODEC(B9)))</f>
        <v/>
      </c>
      <c r="B9" s="17" t="str">
        <f>IF(OR(E9=0,F9=""),"",DECTOMS(F9/D9*60))</f>
        <v/>
      </c>
      <c r="C9" t="str">
        <f>IF(E9=0,"",HDG(E9,H9,I9))</f>
        <v/>
      </c>
      <c r="D9">
        <f>IF(E9=0,0,GS(E9,H9,I9))</f>
        <v>0</v>
      </c>
      <c r="E9" s="41">
        <f t="shared" si="1"/>
        <v>0</v>
      </c>
      <c r="F9" s="18"/>
      <c r="G9" s="18"/>
      <c r="H9" s="18"/>
      <c r="I9" s="27"/>
      <c r="J9" s="18"/>
      <c r="K9" s="18"/>
      <c r="L9" s="18"/>
      <c r="M9" s="9">
        <f t="shared" si="0"/>
        <v>6</v>
      </c>
    </row>
    <row r="10" spans="1:13" ht="11.55" customHeight="1">
      <c r="A10" s="30" t="str">
        <f>IF(B10="",A9,DECTOMS(MSTODEC(A9) + MSTODEC(B10)))</f>
        <v/>
      </c>
      <c r="B10" s="17" t="str">
        <f>IF(OR(E10=0,F10=""),"",DECTOMS(F10/D10*60))</f>
        <v/>
      </c>
      <c r="C10" t="str">
        <f>IF(E10=0,"",HDG(E10,H10,I10))</f>
        <v/>
      </c>
      <c r="D10">
        <f>IF(E10=0,0,GS(E10,H10,I10))</f>
        <v>0</v>
      </c>
      <c r="E10" s="41">
        <f t="shared" si="1"/>
        <v>0</v>
      </c>
      <c r="F10" s="18"/>
      <c r="G10" s="18"/>
      <c r="H10" s="18"/>
      <c r="I10" s="27"/>
      <c r="J10" s="18"/>
      <c r="K10" s="18"/>
      <c r="L10" s="18"/>
      <c r="M10" s="9">
        <f t="shared" si="0"/>
        <v>7</v>
      </c>
    </row>
    <row r="11" spans="1:13" ht="11.55" customHeight="1">
      <c r="A11" s="30" t="str">
        <f>IF(B11="",A10,DECTOMS(MSTODEC(A10) + MSTODEC(B11)))</f>
        <v/>
      </c>
      <c r="B11" s="17" t="str">
        <f>IF(OR(E11=0,F11=""),"",DECTOMS(F11/D11*60))</f>
        <v/>
      </c>
      <c r="C11" t="str">
        <f>IF(E11=0,"",HDG(E11,H11,I11))</f>
        <v/>
      </c>
      <c r="D11">
        <f>IF(E11=0,0,GS(E11,H11,I11))</f>
        <v>0</v>
      </c>
      <c r="E11" s="41">
        <f t="shared" si="1"/>
        <v>0</v>
      </c>
      <c r="F11" s="18"/>
      <c r="G11" s="18"/>
      <c r="H11" s="18"/>
      <c r="I11" s="27"/>
      <c r="J11" s="18"/>
      <c r="K11" s="18"/>
      <c r="L11" s="18"/>
      <c r="M11" s="9">
        <f t="shared" si="0"/>
        <v>8</v>
      </c>
    </row>
    <row r="12" spans="1:13" ht="11.55" customHeight="1">
      <c r="A12" s="30" t="str">
        <f>IF(B12="",A11,DECTOMS(MSTODEC(A11) + MSTODEC(B12)))</f>
        <v/>
      </c>
      <c r="B12" s="17" t="str">
        <f>IF(OR(E12=0,F12=""),"",DECTOMS(F12/D12*60))</f>
        <v/>
      </c>
      <c r="C12" t="str">
        <f>IF(E12=0,"",HDG(E12,H12,I12))</f>
        <v/>
      </c>
      <c r="D12">
        <f>IF(E12=0,0,GS(E12,H12,I12))</f>
        <v>0</v>
      </c>
      <c r="E12" s="41">
        <f t="shared" si="1"/>
        <v>0</v>
      </c>
      <c r="F12" s="18"/>
      <c r="G12" s="18"/>
      <c r="H12" s="18"/>
      <c r="I12" s="27"/>
      <c r="J12" s="18"/>
      <c r="K12" s="18"/>
      <c r="L12" s="18"/>
      <c r="M12" s="9">
        <f t="shared" si="0"/>
        <v>9</v>
      </c>
    </row>
    <row r="13" spans="1:13" ht="11.55" customHeight="1">
      <c r="A13" s="30" t="str">
        <f>IF(B13="",A12,DECTOMS(MSTODEC(A12) + MSTODEC(B13)))</f>
        <v/>
      </c>
      <c r="B13" s="17" t="str">
        <f>IF(OR(E13=0,F13=""),"",DECTOMS(F13/D13*60))</f>
        <v/>
      </c>
      <c r="C13" t="str">
        <f>IF(E13=0,"",HDG(E13,H13,I13))</f>
        <v/>
      </c>
      <c r="D13">
        <f>IF(E13=0,0,GS(E13,H13,I13))</f>
        <v>0</v>
      </c>
      <c r="E13" s="41">
        <f t="shared" si="1"/>
        <v>0</v>
      </c>
      <c r="F13" s="18"/>
      <c r="G13" s="18"/>
      <c r="H13" s="18"/>
      <c r="I13" s="27"/>
      <c r="J13" s="18"/>
      <c r="K13" s="18"/>
      <c r="L13" s="18"/>
      <c r="M13" s="9">
        <f t="shared" si="0"/>
        <v>10</v>
      </c>
    </row>
    <row r="14" spans="1:13" ht="11.55" customHeight="1">
      <c r="A14" s="30" t="str">
        <f>IF(B14="",A13,DECTOMS(MSTODEC(A13) + MSTODEC(B14)))</f>
        <v/>
      </c>
      <c r="B14" s="17" t="str">
        <f>IF(OR(E14=0,F14=""),"",DECTOMS(F14/D14*60))</f>
        <v/>
      </c>
      <c r="C14" t="str">
        <f>IF(E14=0,"",HDG(E14,H14,I14))</f>
        <v/>
      </c>
      <c r="D14">
        <f>IF(E14=0,0,GS(E14,H14,I14))</f>
        <v>0</v>
      </c>
      <c r="E14" s="41">
        <f t="shared" si="1"/>
        <v>0</v>
      </c>
      <c r="F14" s="18"/>
      <c r="G14" s="18"/>
      <c r="H14" s="18"/>
      <c r="I14" s="27"/>
      <c r="J14" s="18"/>
      <c r="K14" s="18"/>
      <c r="L14" s="18"/>
      <c r="M14" s="9">
        <f t="shared" si="0"/>
        <v>11</v>
      </c>
    </row>
    <row r="15" spans="1:13" ht="11.55" customHeight="1">
      <c r="A15" s="30" t="str">
        <f>IF(B15="",A14,DECTOMS(MSTODEC(A14) + MSTODEC(B15)))</f>
        <v/>
      </c>
      <c r="B15" s="17" t="str">
        <f>IF(OR(E15=0,F15=""),"",DECTOMS(F15/D15*60))</f>
        <v/>
      </c>
      <c r="C15" t="str">
        <f>IF(E15=0,"",HDG(E15,H15,I15))</f>
        <v/>
      </c>
      <c r="D15">
        <f>IF(E15=0,0,GS(E15,H15,I15))</f>
        <v>0</v>
      </c>
      <c r="E15" s="41">
        <f t="shared" si="1"/>
        <v>0</v>
      </c>
      <c r="F15" s="18"/>
      <c r="G15" s="18"/>
      <c r="H15" s="18"/>
      <c r="I15" s="27"/>
      <c r="J15" s="18"/>
      <c r="K15" s="18"/>
      <c r="L15" s="18"/>
      <c r="M15" s="9">
        <f t="shared" si="0"/>
        <v>12</v>
      </c>
    </row>
    <row r="16" spans="1:13" ht="11.55" customHeight="1">
      <c r="A16" s="14"/>
      <c r="B16" s="19"/>
      <c r="C16"/>
      <c r="D16"/>
      <c r="E16"/>
      <c r="F16" s="15"/>
      <c r="G16" s="15"/>
      <c r="H16" s="15"/>
      <c r="I16" s="26"/>
      <c r="J16" s="15"/>
      <c r="K16" s="16" t="s">
        <v>20</v>
      </c>
      <c r="L16" s="16" t="s">
        <v>21</v>
      </c>
      <c r="M16" s="9">
        <f t="shared" si="0"/>
        <v>13</v>
      </c>
    </row>
    <row r="17" spans="1:13" s="20" customFormat="1" ht="11.55" customHeight="1">
      <c r="A17" s="35" t="s">
        <v>22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</row>
    <row r="18" spans="1:13" ht="11.55" customHeight="1">
      <c r="A18" s="14"/>
      <c r="B18" s="14"/>
      <c r="C18"/>
      <c r="D18"/>
      <c r="E18"/>
      <c r="F18" s="21"/>
      <c r="G18" s="22"/>
      <c r="H18" s="22"/>
      <c r="I18" s="28"/>
      <c r="J18" s="22"/>
      <c r="K18" s="16" t="s">
        <v>18</v>
      </c>
      <c r="L18" s="16" t="s">
        <v>19</v>
      </c>
      <c r="M18" s="9">
        <v>1</v>
      </c>
    </row>
    <row r="19" spans="1:13" ht="11.55" customHeight="1">
      <c r="A19" s="17" t="str">
        <f>B19</f>
        <v/>
      </c>
      <c r="B19" s="17" t="str">
        <f>IF(OR(E19=0,F19=""),"",DECTOMS(F19/D19*60))</f>
        <v/>
      </c>
      <c r="C19" t="str">
        <f>IF(E19=0,"",HDG(E19,H19,I19))</f>
        <v/>
      </c>
      <c r="D19">
        <f>IF(E19=0,0,GS(E19,H19,I19))</f>
        <v>0</v>
      </c>
      <c r="E19" s="41">
        <f t="shared" ref="E19:E29" si="2">TAS(G19,DA(J19,$F$2,$J$2))</f>
        <v>0</v>
      </c>
      <c r="F19" s="18"/>
      <c r="G19" s="18"/>
      <c r="H19" s="18"/>
      <c r="I19" s="27"/>
      <c r="J19" s="18"/>
      <c r="K19" s="18"/>
      <c r="L19" s="18"/>
      <c r="M19" s="9">
        <f t="shared" ref="M19:M30" si="3">M18+1</f>
        <v>2</v>
      </c>
    </row>
    <row r="20" spans="1:13" ht="11.55" customHeight="1">
      <c r="A20" s="17" t="str">
        <f>IF(B20="",A19,DECTOMS(MSTODEC(A19) + MSTODEC(B20)))</f>
        <v/>
      </c>
      <c r="B20" s="17" t="str">
        <f>IF(OR(E20=0,F20=""),"",DECTOMS(F20/D20*60))</f>
        <v/>
      </c>
      <c r="C20" t="str">
        <f>IF(E20=0,"",HDG(E20,H20,I20))</f>
        <v/>
      </c>
      <c r="D20">
        <f>IF(E20=0,0,GS(E20,H20,I20))</f>
        <v>0</v>
      </c>
      <c r="E20" s="41">
        <f t="shared" si="2"/>
        <v>0</v>
      </c>
      <c r="F20" s="18"/>
      <c r="G20" s="18"/>
      <c r="H20" s="18"/>
      <c r="I20" s="27"/>
      <c r="J20" s="18"/>
      <c r="K20" s="18"/>
      <c r="L20" s="18"/>
      <c r="M20" s="9">
        <f t="shared" si="3"/>
        <v>3</v>
      </c>
    </row>
    <row r="21" spans="1:13" ht="11.55" customHeight="1">
      <c r="A21" s="17" t="str">
        <f>IF(B21="",A20,DECTOMS(MSTODEC(A20) + MSTODEC(B21)))</f>
        <v/>
      </c>
      <c r="B21" s="17" t="str">
        <f>IF(OR(E21=0,F21=""),"",DECTOMS(F21/D21*60))</f>
        <v/>
      </c>
      <c r="C21" t="str">
        <f>IF(E21=0,"",HDG(E21,H21,I21))</f>
        <v/>
      </c>
      <c r="D21">
        <f>IF(E21=0,0,GS(E21,H21,I21))</f>
        <v>0</v>
      </c>
      <c r="E21" s="41">
        <f t="shared" si="2"/>
        <v>0</v>
      </c>
      <c r="F21" s="18"/>
      <c r="G21" s="18"/>
      <c r="H21" s="18"/>
      <c r="I21" s="27"/>
      <c r="J21" s="18"/>
      <c r="K21" s="18"/>
      <c r="L21" s="18"/>
      <c r="M21" s="9">
        <f t="shared" si="3"/>
        <v>4</v>
      </c>
    </row>
    <row r="22" spans="1:13" ht="11.55" customHeight="1">
      <c r="A22" s="17" t="str">
        <f>IF(B22="",A21,DECTOMS(MSTODEC(A21) + MSTODEC(B22)))</f>
        <v/>
      </c>
      <c r="B22" s="17" t="str">
        <f>IF(OR(E22=0,F22=""),"",DECTOMS(F22/D22*60))</f>
        <v/>
      </c>
      <c r="C22" t="str">
        <f>IF(E22=0,"",HDG(E22,H22,I22))</f>
        <v/>
      </c>
      <c r="D22">
        <f>IF(E22=0,0,GS(E22,H22,I22))</f>
        <v>0</v>
      </c>
      <c r="E22" s="41">
        <f t="shared" si="2"/>
        <v>0</v>
      </c>
      <c r="F22" s="18"/>
      <c r="G22" s="18"/>
      <c r="H22" s="18"/>
      <c r="I22" s="27"/>
      <c r="J22" s="18"/>
      <c r="K22" s="18"/>
      <c r="L22" s="18"/>
      <c r="M22" s="9">
        <f t="shared" si="3"/>
        <v>5</v>
      </c>
    </row>
    <row r="23" spans="1:13" ht="11.55" customHeight="1">
      <c r="A23" s="17" t="str">
        <f>IF(B23="",A22,DECTOMS(MSTODEC(A22) + MSTODEC(B23)))</f>
        <v/>
      </c>
      <c r="B23" s="17" t="str">
        <f>IF(OR(E23=0,F23=""),"",DECTOMS(F23/D23*60))</f>
        <v/>
      </c>
      <c r="C23" t="str">
        <f>IF(E23=0,"",HDG(E23,H23,I23))</f>
        <v/>
      </c>
      <c r="D23">
        <f>IF(E23=0,0,GS(E23,H23,I23))</f>
        <v>0</v>
      </c>
      <c r="E23" s="41">
        <f t="shared" si="2"/>
        <v>0</v>
      </c>
      <c r="F23" s="18"/>
      <c r="G23" s="18"/>
      <c r="H23" s="18"/>
      <c r="I23" s="27"/>
      <c r="J23" s="18"/>
      <c r="K23" s="18"/>
      <c r="L23" s="18"/>
      <c r="M23" s="9">
        <f t="shared" si="3"/>
        <v>6</v>
      </c>
    </row>
    <row r="24" spans="1:13" ht="11.55" customHeight="1">
      <c r="A24" s="17" t="str">
        <f>IF(B24="",A23,DECTOMS(MSTODEC(A23) + MSTODEC(B24)))</f>
        <v/>
      </c>
      <c r="B24" s="17" t="str">
        <f>IF(OR(E24=0,F24=""),"",DECTOMS(F24/D24*60))</f>
        <v/>
      </c>
      <c r="C24" t="str">
        <f>IF(E24=0,"",HDG(E24,H24,I24))</f>
        <v/>
      </c>
      <c r="D24">
        <f>IF(E24=0,0,GS(E24,H24,I24))</f>
        <v>0</v>
      </c>
      <c r="E24" s="41">
        <f t="shared" si="2"/>
        <v>0</v>
      </c>
      <c r="F24" s="18"/>
      <c r="G24" s="18"/>
      <c r="H24" s="18"/>
      <c r="I24" s="27"/>
      <c r="J24" s="18"/>
      <c r="K24" s="18"/>
      <c r="L24" s="18"/>
      <c r="M24" s="9">
        <f t="shared" si="3"/>
        <v>7</v>
      </c>
    </row>
    <row r="25" spans="1:13" ht="11.55" customHeight="1">
      <c r="A25" s="17" t="str">
        <f>IF(B25="",A24,DECTOMS(MSTODEC(A24) + MSTODEC(B25)))</f>
        <v/>
      </c>
      <c r="B25" s="17" t="str">
        <f>IF(OR(E25=0,F25=""),"",DECTOMS(F25/D25*60))</f>
        <v/>
      </c>
      <c r="C25" t="str">
        <f>IF(E25=0,"",HDG(E25,H25,I25))</f>
        <v/>
      </c>
      <c r="D25">
        <f>IF(E25=0,0,GS(E25,H25,I25))</f>
        <v>0</v>
      </c>
      <c r="E25" s="41">
        <f t="shared" si="2"/>
        <v>0</v>
      </c>
      <c r="F25" s="18"/>
      <c r="G25" s="18"/>
      <c r="H25" s="18"/>
      <c r="I25" s="27"/>
      <c r="J25" s="18"/>
      <c r="K25" s="18"/>
      <c r="L25" s="18"/>
      <c r="M25" s="9">
        <f t="shared" si="3"/>
        <v>8</v>
      </c>
    </row>
    <row r="26" spans="1:13" ht="11.55" customHeight="1">
      <c r="A26" s="17" t="str">
        <f>IF(B26="",A25,DECTOMS(MSTODEC(A25) + MSTODEC(B26)))</f>
        <v/>
      </c>
      <c r="B26" s="17" t="str">
        <f>IF(OR(E26=0,F26=""),"",DECTOMS(F26/D26*60))</f>
        <v/>
      </c>
      <c r="C26" t="str">
        <f>IF(E26=0,"",HDG(E26,H26,I26))</f>
        <v/>
      </c>
      <c r="D26">
        <f>IF(E26=0,0,GS(E26,H26,I26))</f>
        <v>0</v>
      </c>
      <c r="E26" s="41">
        <f t="shared" si="2"/>
        <v>0</v>
      </c>
      <c r="F26" s="18"/>
      <c r="G26" s="18"/>
      <c r="H26" s="18"/>
      <c r="I26" s="27"/>
      <c r="J26" s="18"/>
      <c r="K26" s="18"/>
      <c r="L26" s="18"/>
      <c r="M26" s="9">
        <f t="shared" si="3"/>
        <v>9</v>
      </c>
    </row>
    <row r="27" spans="1:13" ht="11.55" customHeight="1">
      <c r="A27" s="17" t="str">
        <f>IF(B27="",A26,DECTOMS(MSTODEC(A26) + MSTODEC(B27)))</f>
        <v/>
      </c>
      <c r="B27" s="17" t="str">
        <f>IF(OR(E27=0,F27=""),"",DECTOMS(F27/D27*60))</f>
        <v/>
      </c>
      <c r="C27" t="str">
        <f>IF(E27=0,"",HDG(E27,H27,I27))</f>
        <v/>
      </c>
      <c r="D27">
        <f>IF(E27=0,0,GS(E27,H27,I27))</f>
        <v>0</v>
      </c>
      <c r="E27" s="41">
        <f t="shared" si="2"/>
        <v>0</v>
      </c>
      <c r="F27" s="18"/>
      <c r="G27" s="18"/>
      <c r="H27" s="18"/>
      <c r="I27" s="27"/>
      <c r="J27" s="18"/>
      <c r="K27" s="18"/>
      <c r="L27" s="18"/>
      <c r="M27" s="9">
        <f t="shared" si="3"/>
        <v>10</v>
      </c>
    </row>
    <row r="28" spans="1:13" ht="11.55" customHeight="1">
      <c r="A28" s="17" t="str">
        <f>IF(B28="",A27,DECTOMS(MSTODEC(A27) + MSTODEC(B28)))</f>
        <v/>
      </c>
      <c r="B28" s="17" t="str">
        <f>IF(OR(E28=0,F28=""),"",DECTOMS(F28/D28*60))</f>
        <v/>
      </c>
      <c r="C28" t="str">
        <f>IF(E28=0,"",HDG(E28,H28,I28))</f>
        <v/>
      </c>
      <c r="D28">
        <f>IF(E28=0,0,GS(E28,H28,I28))</f>
        <v>0</v>
      </c>
      <c r="E28" s="41">
        <f t="shared" si="2"/>
        <v>0</v>
      </c>
      <c r="F28" s="18"/>
      <c r="G28" s="18"/>
      <c r="H28" s="18"/>
      <c r="I28" s="27"/>
      <c r="J28" s="18"/>
      <c r="K28" s="18"/>
      <c r="L28" s="18"/>
      <c r="M28" s="9">
        <f t="shared" si="3"/>
        <v>11</v>
      </c>
    </row>
    <row r="29" spans="1:13" ht="11.55" customHeight="1">
      <c r="A29" s="17" t="str">
        <f>IF(B29="",A28,DECTOMS(MSTODEC(A28) + MSTODEC(B29)))</f>
        <v/>
      </c>
      <c r="B29" s="17" t="str">
        <f>IF(OR(E29=0,F29=""),"",DECTOMS(F29/D29*60))</f>
        <v/>
      </c>
      <c r="C29" t="str">
        <f>IF(E29=0,"",HDG(E29,H29,I29))</f>
        <v/>
      </c>
      <c r="D29">
        <f>IF(E29=0,0,GS(E29,H29,I29))</f>
        <v>0</v>
      </c>
      <c r="E29" s="41">
        <f t="shared" si="2"/>
        <v>0</v>
      </c>
      <c r="F29" s="18"/>
      <c r="G29" s="18"/>
      <c r="H29" s="18"/>
      <c r="I29" s="27"/>
      <c r="J29" s="18"/>
      <c r="K29" s="18"/>
      <c r="L29" s="18"/>
      <c r="M29" s="9">
        <f t="shared" si="3"/>
        <v>12</v>
      </c>
    </row>
    <row r="30" spans="1:13" ht="11.55" customHeight="1">
      <c r="A30" s="14"/>
      <c r="B30" s="19"/>
      <c r="C30"/>
      <c r="D30"/>
      <c r="E30"/>
      <c r="F30" s="21"/>
      <c r="G30" s="22"/>
      <c r="H30" s="22"/>
      <c r="I30" s="28"/>
      <c r="J30" s="22"/>
      <c r="K30" s="16" t="s">
        <v>20</v>
      </c>
      <c r="L30" s="16" t="s">
        <v>21</v>
      </c>
      <c r="M30" s="9">
        <f t="shared" si="3"/>
        <v>13</v>
      </c>
    </row>
    <row r="31" spans="1:13" s="23" customFormat="1" ht="11.55" customHeigh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1:13" ht="12.75" customHeight="1">
      <c r="A32" s="19"/>
      <c r="B32" s="19"/>
      <c r="C32"/>
      <c r="D32"/>
      <c r="E32"/>
      <c r="F32"/>
      <c r="G32"/>
      <c r="H32"/>
      <c r="I32" s="24"/>
      <c r="J32"/>
      <c r="K32"/>
      <c r="L32"/>
      <c r="M32"/>
    </row>
    <row r="33" spans="1:13" ht="11.55" customHeight="1">
      <c r="A33" s="37" t="str">
        <f>A15</f>
        <v/>
      </c>
      <c r="B33" s="37"/>
      <c r="C33" s="37"/>
      <c r="D33" s="37"/>
      <c r="E33" s="37"/>
      <c r="F33" s="37"/>
      <c r="G33" s="37"/>
      <c r="H33" s="37"/>
      <c r="I33" s="37"/>
      <c r="J33" s="38" t="s">
        <v>23</v>
      </c>
      <c r="K33" s="38"/>
      <c r="L33" s="38"/>
      <c r="M33" s="9"/>
    </row>
    <row r="34" spans="1:13" ht="11.55" customHeight="1">
      <c r="A34" s="37" t="str">
        <f>A29</f>
        <v/>
      </c>
      <c r="B34" s="37"/>
      <c r="C34" s="37"/>
      <c r="D34" s="37"/>
      <c r="E34" s="37"/>
      <c r="F34" s="37"/>
      <c r="G34" s="37"/>
      <c r="H34" s="37"/>
      <c r="I34" s="37"/>
      <c r="J34" s="38" t="s">
        <v>24</v>
      </c>
      <c r="K34" s="38"/>
      <c r="L34" s="38"/>
      <c r="M34" s="9"/>
    </row>
    <row r="35" spans="1:13" ht="11.55" customHeight="1">
      <c r="A35" s="37" t="s">
        <v>25</v>
      </c>
      <c r="B35" s="37"/>
      <c r="C35" s="37"/>
      <c r="D35" s="37"/>
      <c r="E35" s="37"/>
      <c r="F35" s="37"/>
      <c r="G35" s="37"/>
      <c r="H35" s="37"/>
      <c r="I35" s="37"/>
      <c r="J35" s="38" t="s">
        <v>26</v>
      </c>
      <c r="K35" s="38"/>
      <c r="L35" s="38"/>
      <c r="M35" s="9"/>
    </row>
    <row r="36" spans="1:13" ht="11.55" customHeight="1">
      <c r="A36" s="39">
        <v>40</v>
      </c>
      <c r="B36" s="39"/>
      <c r="C36" s="39"/>
      <c r="D36" s="39"/>
      <c r="E36" s="39"/>
      <c r="F36" s="39"/>
      <c r="G36" s="39"/>
      <c r="H36" s="39"/>
      <c r="I36" s="39"/>
      <c r="J36" s="38" t="s">
        <v>27</v>
      </c>
      <c r="K36" s="38"/>
      <c r="L36" s="38"/>
      <c r="M36" s="9"/>
    </row>
    <row r="37" spans="1:13" ht="11.55" customHeight="1">
      <c r="A37" s="40">
        <f>(MSTODEC(A33)+MSTODEC(A34)+MSTODEC(A35))/60*$H$2 + $A$2</f>
        <v>7.2</v>
      </c>
      <c r="B37" s="40"/>
      <c r="C37" s="40"/>
      <c r="D37" s="40"/>
      <c r="E37" s="40"/>
      <c r="F37" s="40"/>
      <c r="G37" s="40"/>
      <c r="H37" s="40"/>
      <c r="I37" s="40"/>
      <c r="J37" s="38" t="s">
        <v>28</v>
      </c>
      <c r="K37" s="38"/>
      <c r="L37" s="38"/>
      <c r="M37" s="9"/>
    </row>
    <row r="38" spans="1:13" ht="11.55" customHeight="1">
      <c r="A38" s="40">
        <f>A36-A37</f>
        <v>32.799999999999997</v>
      </c>
      <c r="B38" s="40"/>
      <c r="C38" s="40"/>
      <c r="D38" s="40"/>
      <c r="E38" s="40"/>
      <c r="F38" s="40"/>
      <c r="G38" s="40"/>
      <c r="H38" s="40"/>
      <c r="I38" s="40"/>
      <c r="J38" s="38" t="s">
        <v>29</v>
      </c>
      <c r="K38" s="38"/>
      <c r="L38" s="38"/>
      <c r="M38" s="9"/>
    </row>
  </sheetData>
  <mergeCells count="17">
    <mergeCell ref="A36:I36"/>
    <mergeCell ref="J36:L36"/>
    <mergeCell ref="A37:I37"/>
    <mergeCell ref="J37:L37"/>
    <mergeCell ref="A38:I38"/>
    <mergeCell ref="J38:L38"/>
    <mergeCell ref="A33:I33"/>
    <mergeCell ref="J33:L33"/>
    <mergeCell ref="A34:I34"/>
    <mergeCell ref="J34:L34"/>
    <mergeCell ref="A35:I35"/>
    <mergeCell ref="J35:L35"/>
    <mergeCell ref="A1:M1"/>
    <mergeCell ref="B2:D2"/>
    <mergeCell ref="K2:L2"/>
    <mergeCell ref="A17:M17"/>
    <mergeCell ref="A31:M31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r:id="rId1"/>
  <headerFooter>
    <oddHeader>&amp;C&amp;"Times New Roman,Regular"&amp;12&amp;A</oddHeader>
    <oddFooter>&amp;C&amp;"Times New Roman,Regular"&amp;12Page &amp;P</oddFooter>
  </headerFooter>
  <ignoredErrors>
    <ignoredError sqref="I9:I15" numberStoredAsText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50</cp:revision>
  <cp:lastPrinted>2019-06-17T07:28:52Z</cp:lastPrinted>
  <dcterms:created xsi:type="dcterms:W3CDTF">2019-03-05T15:38:01Z</dcterms:created>
  <dcterms:modified xsi:type="dcterms:W3CDTF">2019-06-17T15:06:57Z</dcterms:modified>
  <dc:language>en-US</dc:language>
</cp:coreProperties>
</file>